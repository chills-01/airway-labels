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reissnm/Google Drive/Projects/Postdoc/Zosky/VILI_excillum/Aim2_ONE_HR_10regions/"/>
    </mc:Choice>
  </mc:AlternateContent>
  <xr:revisionPtr revIDLastSave="0" documentId="13_ncr:1_{25556359-04D1-934C-966E-BC444BF299BE}" xr6:coauthVersionLast="45" xr6:coauthVersionMax="45" xr10:uidLastSave="{00000000-0000-0000-0000-000000000000}"/>
  <bookViews>
    <workbookView xWindow="1100" yWindow="6140" windowWidth="27540" windowHeight="15460" tabRatio="500" xr2:uid="{00000000-000D-0000-FFFF-FFFF00000000}"/>
  </bookViews>
  <sheets>
    <sheet name="processing" sheetId="2" r:id="rId1"/>
    <sheet name="test-FRC-code" sheetId="6" r:id="rId2"/>
    <sheet name="piv global plots" sheetId="3" r:id="rId3"/>
    <sheet name="check size L R1-R4" sheetId="5" r:id="rId4"/>
  </sheets>
  <definedNames>
    <definedName name="_xlnm._FilterDatabase" localSheetId="3" hidden="1">'check size L R1-R4'!$A$2:$H$38</definedName>
    <definedName name="_xlnm._FilterDatabase" localSheetId="0" hidden="1">processing!$A$1:$CY$15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Z5" i="2" l="1"/>
  <c r="CZ6" i="2"/>
  <c r="CZ7" i="2"/>
  <c r="CZ8" i="2"/>
  <c r="CZ9" i="2"/>
  <c r="CZ10" i="2"/>
  <c r="CZ11" i="2"/>
  <c r="CZ12" i="2"/>
  <c r="CZ13" i="2"/>
  <c r="CZ14" i="2"/>
  <c r="CZ15" i="2"/>
  <c r="CZ4" i="2"/>
  <c r="BB5" i="2"/>
  <c r="BB6" i="2"/>
  <c r="BB7" i="2"/>
  <c r="BB8" i="2"/>
  <c r="BB9" i="2"/>
  <c r="BB10" i="2"/>
  <c r="BB11" i="2"/>
  <c r="BB12" i="2"/>
  <c r="BB13" i="2"/>
  <c r="BB14" i="2"/>
  <c r="BB15" i="2"/>
  <c r="BB4" i="2"/>
  <c r="BS5" i="2"/>
  <c r="BS6" i="2"/>
  <c r="BS7" i="2"/>
  <c r="BS8" i="2"/>
  <c r="BS9" i="2"/>
  <c r="BS10" i="2"/>
  <c r="BS11" i="2"/>
  <c r="BS12" i="2"/>
  <c r="BS13" i="2"/>
  <c r="BS14" i="2"/>
  <c r="BS15" i="2"/>
  <c r="BS4" i="2"/>
  <c r="CI5" i="2"/>
  <c r="CI6" i="2"/>
  <c r="CI7" i="2"/>
  <c r="CI8" i="2"/>
  <c r="CI9" i="2"/>
  <c r="CI10" i="2"/>
  <c r="CI11" i="2"/>
  <c r="CI12" i="2"/>
  <c r="CI13" i="2"/>
  <c r="CI14" i="2"/>
  <c r="CI15" i="2"/>
  <c r="CI4" i="2"/>
  <c r="CH5" i="2"/>
  <c r="CH6" i="2"/>
  <c r="CH7" i="2"/>
  <c r="CH8" i="2"/>
  <c r="CH9" i="2"/>
  <c r="CH10" i="2"/>
  <c r="CH11" i="2"/>
  <c r="CH12" i="2"/>
  <c r="CH13" i="2"/>
  <c r="CH14" i="2"/>
  <c r="CH15" i="2"/>
  <c r="CH4" i="2"/>
  <c r="BQ5" i="2" l="1"/>
  <c r="BQ6" i="2"/>
  <c r="BQ7" i="2"/>
  <c r="BQ8" i="2"/>
  <c r="BQ9" i="2"/>
  <c r="BQ10" i="2"/>
  <c r="BQ11" i="2"/>
  <c r="BQ12" i="2"/>
  <c r="BQ13" i="2"/>
  <c r="BQ14" i="2"/>
  <c r="BQ15" i="2"/>
  <c r="BQ4" i="2"/>
  <c r="AD6" i="2" l="1"/>
  <c r="AG6" i="2" s="1"/>
  <c r="AD7" i="2"/>
  <c r="AG7" i="2" s="1"/>
  <c r="AD8" i="2"/>
  <c r="AG8" i="2" s="1"/>
  <c r="AD9" i="2"/>
  <c r="AG9" i="2" s="1"/>
  <c r="AD10" i="2"/>
  <c r="AG10" i="2" s="1"/>
  <c r="AD11" i="2"/>
  <c r="AG11" i="2" s="1"/>
  <c r="AD12" i="2"/>
  <c r="AG12" i="2" s="1"/>
  <c r="AD13" i="2"/>
  <c r="AG13" i="2" s="1"/>
  <c r="AD14" i="2"/>
  <c r="AG14" i="2" s="1"/>
  <c r="AD15" i="2"/>
  <c r="AG15" i="2" s="1"/>
  <c r="AD5" i="2"/>
  <c r="AG5" i="2" s="1"/>
  <c r="AF5" i="2"/>
  <c r="AF6" i="2"/>
  <c r="AF7" i="2"/>
  <c r="AF8" i="2"/>
  <c r="AF9" i="2"/>
  <c r="AF10" i="2"/>
  <c r="AF11" i="2"/>
  <c r="AF12" i="2"/>
  <c r="AF13" i="2"/>
  <c r="AF14" i="2"/>
  <c r="AF15" i="2"/>
  <c r="AF4" i="2"/>
  <c r="AD4" i="2"/>
  <c r="AG4" i="2" s="1"/>
  <c r="AH5" i="2"/>
  <c r="AI5" i="2"/>
  <c r="AH6" i="2"/>
  <c r="AI6" i="2"/>
  <c r="AH7" i="2"/>
  <c r="AI7" i="2"/>
  <c r="AH8" i="2"/>
  <c r="AI8" i="2"/>
  <c r="AH9" i="2"/>
  <c r="AI9" i="2"/>
  <c r="AH10" i="2"/>
  <c r="AI10" i="2"/>
  <c r="AH11" i="2"/>
  <c r="AI11" i="2"/>
  <c r="AH12" i="2"/>
  <c r="AI12" i="2"/>
  <c r="AH13" i="2"/>
  <c r="AI13" i="2"/>
  <c r="AH14" i="2"/>
  <c r="AI14" i="2"/>
  <c r="AH15" i="2"/>
  <c r="AI15" i="2"/>
  <c r="AI4" i="2"/>
  <c r="AH4" i="2"/>
  <c r="AZ15" i="2"/>
  <c r="AZ14" i="2"/>
  <c r="AZ13" i="2"/>
  <c r="AZ12" i="2"/>
  <c r="AZ11" i="2"/>
  <c r="AZ10" i="2"/>
  <c r="AZ9" i="2"/>
  <c r="AZ8" i="2"/>
  <c r="AZ7" i="2"/>
  <c r="AZ4" i="2"/>
  <c r="AZ5" i="2"/>
  <c r="AZ6" i="2"/>
  <c r="AX5" i="2"/>
  <c r="AX6" i="2"/>
  <c r="AX7" i="2"/>
  <c r="AX8" i="2"/>
  <c r="AX9" i="2"/>
  <c r="AX10" i="2"/>
  <c r="AX11" i="2"/>
  <c r="AX12" i="2"/>
  <c r="AX13" i="2"/>
  <c r="AX14" i="2"/>
  <c r="AX15" i="2"/>
  <c r="AX4" i="2"/>
  <c r="E5" i="6" l="1"/>
  <c r="E4" i="6"/>
  <c r="B3" i="6"/>
  <c r="G3" i="6" s="1"/>
  <c r="C3" i="6" l="1"/>
  <c r="E3" i="6" s="1"/>
  <c r="Q5" i="2" l="1"/>
  <c r="Q6" i="2"/>
  <c r="Q7" i="2"/>
  <c r="Q8" i="2"/>
  <c r="Q9" i="2"/>
  <c r="Q10" i="2"/>
  <c r="Q11" i="2"/>
  <c r="Q12" i="2"/>
  <c r="Q13" i="2"/>
  <c r="Q14" i="2"/>
  <c r="Q15" i="2"/>
  <c r="Q4" i="2"/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U18" i="5" s="1"/>
  <c r="O20" i="5"/>
  <c r="O21" i="5"/>
  <c r="O22" i="5"/>
  <c r="O23" i="5"/>
  <c r="O24" i="5"/>
  <c r="O25" i="5"/>
  <c r="U24" i="5" s="1"/>
  <c r="O26" i="5"/>
  <c r="O27" i="5"/>
  <c r="O28" i="5"/>
  <c r="O29" i="5"/>
  <c r="O30" i="5"/>
  <c r="O31" i="5"/>
  <c r="U30" i="5" s="1"/>
  <c r="O32" i="5"/>
  <c r="O33" i="5"/>
  <c r="O34" i="5"/>
  <c r="O35" i="5"/>
  <c r="O36" i="5"/>
  <c r="O37" i="5"/>
  <c r="U36" i="5" s="1"/>
  <c r="O38" i="5"/>
  <c r="O3" i="5"/>
  <c r="N4" i="5"/>
  <c r="N5" i="5"/>
  <c r="N6" i="5"/>
  <c r="N7" i="5"/>
  <c r="T6" i="5" s="1"/>
  <c r="N8" i="5"/>
  <c r="N9" i="5"/>
  <c r="N10" i="5"/>
  <c r="N11" i="5"/>
  <c r="N12" i="5"/>
  <c r="N13" i="5"/>
  <c r="T12" i="5" s="1"/>
  <c r="N14" i="5"/>
  <c r="N15" i="5"/>
  <c r="N16" i="5"/>
  <c r="N17" i="5"/>
  <c r="N18" i="5"/>
  <c r="N19" i="5"/>
  <c r="T18" i="5" s="1"/>
  <c r="N20" i="5"/>
  <c r="N21" i="5"/>
  <c r="N22" i="5"/>
  <c r="N23" i="5"/>
  <c r="N24" i="5"/>
  <c r="N25" i="5"/>
  <c r="T24" i="5" s="1"/>
  <c r="N26" i="5"/>
  <c r="N27" i="5"/>
  <c r="N28" i="5"/>
  <c r="N29" i="5"/>
  <c r="N30" i="5"/>
  <c r="N31" i="5"/>
  <c r="T30" i="5" s="1"/>
  <c r="N32" i="5"/>
  <c r="N33" i="5"/>
  <c r="N34" i="5"/>
  <c r="N35" i="5"/>
  <c r="N36" i="5"/>
  <c r="N37" i="5"/>
  <c r="T36" i="5" s="1"/>
  <c r="N38" i="5"/>
  <c r="N3" i="5"/>
  <c r="M4" i="5"/>
  <c r="M5" i="5"/>
  <c r="M6" i="5"/>
  <c r="M7" i="5"/>
  <c r="S6" i="5" s="1"/>
  <c r="M8" i="5"/>
  <c r="M9" i="5"/>
  <c r="M10" i="5"/>
  <c r="M11" i="5"/>
  <c r="M12" i="5"/>
  <c r="M13" i="5"/>
  <c r="S12" i="5" s="1"/>
  <c r="M14" i="5"/>
  <c r="M15" i="5"/>
  <c r="M16" i="5"/>
  <c r="M17" i="5"/>
  <c r="M18" i="5"/>
  <c r="M19" i="5"/>
  <c r="M20" i="5"/>
  <c r="M21" i="5"/>
  <c r="M22" i="5"/>
  <c r="M23" i="5"/>
  <c r="M24" i="5"/>
  <c r="M25" i="5"/>
  <c r="S24" i="5" s="1"/>
  <c r="M26" i="5"/>
  <c r="M27" i="5"/>
  <c r="M28" i="5"/>
  <c r="M29" i="5"/>
  <c r="M30" i="5"/>
  <c r="M31" i="5"/>
  <c r="S30" i="5" s="1"/>
  <c r="M32" i="5"/>
  <c r="M33" i="5"/>
  <c r="M34" i="5"/>
  <c r="M35" i="5"/>
  <c r="M36" i="5"/>
  <c r="M37" i="5"/>
  <c r="S36" i="5" s="1"/>
  <c r="M38" i="5"/>
  <c r="M3" i="5"/>
  <c r="L4" i="5"/>
  <c r="L5" i="5"/>
  <c r="L6" i="5"/>
  <c r="L7" i="5"/>
  <c r="R6" i="5" s="1"/>
  <c r="L8" i="5"/>
  <c r="L9" i="5"/>
  <c r="L10" i="5"/>
  <c r="L11" i="5"/>
  <c r="L12" i="5"/>
  <c r="L13" i="5"/>
  <c r="R12" i="5" s="1"/>
  <c r="L14" i="5"/>
  <c r="L15" i="5"/>
  <c r="L16" i="5"/>
  <c r="L17" i="5"/>
  <c r="L18" i="5"/>
  <c r="L19" i="5"/>
  <c r="R18" i="5" s="1"/>
  <c r="L20" i="5"/>
  <c r="L21" i="5"/>
  <c r="L22" i="5"/>
  <c r="L23" i="5"/>
  <c r="L24" i="5"/>
  <c r="L25" i="5"/>
  <c r="R24" i="5" s="1"/>
  <c r="L26" i="5"/>
  <c r="L27" i="5"/>
  <c r="L28" i="5"/>
  <c r="L29" i="5"/>
  <c r="L30" i="5"/>
  <c r="L31" i="5"/>
  <c r="R30" i="5" s="1"/>
  <c r="L32" i="5"/>
  <c r="L33" i="5"/>
  <c r="L34" i="5"/>
  <c r="L35" i="5"/>
  <c r="L36" i="5"/>
  <c r="L37" i="5"/>
  <c r="R36" i="5" s="1"/>
  <c r="L38" i="5"/>
  <c r="L3" i="5"/>
  <c r="K4" i="5"/>
  <c r="K5" i="5"/>
  <c r="K6" i="5"/>
  <c r="K7" i="5"/>
  <c r="Q6" i="5" s="1"/>
  <c r="K8" i="5"/>
  <c r="K9" i="5"/>
  <c r="K10" i="5"/>
  <c r="K11" i="5"/>
  <c r="K12" i="5"/>
  <c r="K13" i="5"/>
  <c r="K14" i="5"/>
  <c r="K15" i="5"/>
  <c r="K16" i="5"/>
  <c r="K17" i="5"/>
  <c r="K18" i="5"/>
  <c r="K19" i="5"/>
  <c r="Q18" i="5" s="1"/>
  <c r="K20" i="5"/>
  <c r="K21" i="5"/>
  <c r="K22" i="5"/>
  <c r="K23" i="5"/>
  <c r="K24" i="5"/>
  <c r="K25" i="5"/>
  <c r="Q24" i="5" s="1"/>
  <c r="K26" i="5"/>
  <c r="K27" i="5"/>
  <c r="K28" i="5"/>
  <c r="K29" i="5"/>
  <c r="K30" i="5"/>
  <c r="K31" i="5"/>
  <c r="Q30" i="5" s="1"/>
  <c r="K32" i="5"/>
  <c r="K33" i="5"/>
  <c r="K34" i="5"/>
  <c r="K35" i="5"/>
  <c r="K36" i="5"/>
  <c r="K37" i="5"/>
  <c r="Q36" i="5" s="1"/>
  <c r="K38" i="5"/>
  <c r="K3" i="5"/>
  <c r="U12" i="5" l="1"/>
  <c r="Q33" i="5"/>
  <c r="Q21" i="5"/>
  <c r="R33" i="5"/>
  <c r="R21" i="5"/>
  <c r="R9" i="5"/>
  <c r="S33" i="5"/>
  <c r="S21" i="5"/>
  <c r="S9" i="5"/>
  <c r="T33" i="5"/>
  <c r="T21" i="5"/>
  <c r="T9" i="5"/>
  <c r="U33" i="5"/>
  <c r="U21" i="5"/>
  <c r="U9" i="5"/>
  <c r="U6" i="5"/>
  <c r="S18" i="5"/>
  <c r="Q35" i="5"/>
  <c r="Q23" i="5"/>
  <c r="Q11" i="5"/>
  <c r="Q27" i="5"/>
  <c r="Q15" i="5"/>
  <c r="Q3" i="5"/>
  <c r="R27" i="5"/>
  <c r="R15" i="5"/>
  <c r="R3" i="5"/>
  <c r="S27" i="5"/>
  <c r="S15" i="5"/>
  <c r="S3" i="5"/>
  <c r="T27" i="5"/>
  <c r="T15" i="5"/>
  <c r="T3" i="5"/>
  <c r="U27" i="5"/>
  <c r="U15" i="5"/>
  <c r="U3" i="5"/>
  <c r="U38" i="5"/>
  <c r="U37" i="5"/>
  <c r="R13" i="5"/>
  <c r="R14" i="5"/>
  <c r="U14" i="5"/>
  <c r="U13" i="5"/>
  <c r="S37" i="5"/>
  <c r="S38" i="5"/>
  <c r="U26" i="5"/>
  <c r="U25" i="5"/>
  <c r="R38" i="5"/>
  <c r="R37" i="5"/>
  <c r="S14" i="5"/>
  <c r="S13" i="5"/>
  <c r="T25" i="5"/>
  <c r="T26" i="5"/>
  <c r="S34" i="5"/>
  <c r="S35" i="5"/>
  <c r="T23" i="5"/>
  <c r="T22" i="5"/>
  <c r="U35" i="5"/>
  <c r="U34" i="5"/>
  <c r="R19" i="5"/>
  <c r="R20" i="5"/>
  <c r="S19" i="5"/>
  <c r="S20" i="5"/>
  <c r="T31" i="5"/>
  <c r="T32" i="5"/>
  <c r="U32" i="5"/>
  <c r="U31" i="5"/>
  <c r="U20" i="5"/>
  <c r="U19" i="5"/>
  <c r="S25" i="5"/>
  <c r="S26" i="5"/>
  <c r="T14" i="5"/>
  <c r="T13" i="5"/>
  <c r="R34" i="5"/>
  <c r="R35" i="5"/>
  <c r="R10" i="5"/>
  <c r="R11" i="5"/>
  <c r="S10" i="5"/>
  <c r="S11" i="5"/>
  <c r="T10" i="5"/>
  <c r="T11" i="5"/>
  <c r="U11" i="5"/>
  <c r="U10" i="5"/>
  <c r="R31" i="5"/>
  <c r="R32" i="5"/>
  <c r="S32" i="5"/>
  <c r="S31" i="5"/>
  <c r="S7" i="5"/>
  <c r="S8" i="5"/>
  <c r="T7" i="5"/>
  <c r="T8" i="5"/>
  <c r="U8" i="5"/>
  <c r="U7" i="5"/>
  <c r="R25" i="5"/>
  <c r="R26" i="5"/>
  <c r="T37" i="5"/>
  <c r="T38" i="5"/>
  <c r="Q12" i="5"/>
  <c r="T35" i="5"/>
  <c r="T34" i="5"/>
  <c r="R28" i="5"/>
  <c r="R29" i="5"/>
  <c r="R16" i="5"/>
  <c r="R17" i="5"/>
  <c r="R5" i="5"/>
  <c r="R4" i="5"/>
  <c r="S16" i="5"/>
  <c r="S17" i="5"/>
  <c r="S5" i="5"/>
  <c r="S4" i="5"/>
  <c r="T28" i="5"/>
  <c r="T29" i="5"/>
  <c r="T17" i="5"/>
  <c r="T16" i="5"/>
  <c r="T4" i="5"/>
  <c r="T5" i="5"/>
  <c r="U29" i="5"/>
  <c r="U28" i="5"/>
  <c r="U17" i="5"/>
  <c r="U16" i="5"/>
  <c r="U4" i="5"/>
  <c r="U5" i="5"/>
  <c r="R22" i="5"/>
  <c r="R23" i="5"/>
  <c r="S23" i="5"/>
  <c r="S22" i="5"/>
  <c r="U23" i="5"/>
  <c r="U22" i="5"/>
  <c r="R7" i="5"/>
  <c r="R8" i="5"/>
  <c r="T20" i="5"/>
  <c r="T19" i="5"/>
  <c r="S28" i="5"/>
  <c r="S29" i="5"/>
  <c r="Q37" i="5"/>
  <c r="Q38" i="5"/>
  <c r="Q9" i="5"/>
  <c r="Q25" i="5"/>
  <c r="Q26" i="5"/>
  <c r="Q31" i="5"/>
  <c r="Q32" i="5"/>
  <c r="Q19" i="5"/>
  <c r="Q20" i="5"/>
  <c r="Q7" i="5"/>
  <c r="Q8" i="5"/>
  <c r="Q29" i="5"/>
  <c r="Q17" i="5"/>
  <c r="Q4" i="5"/>
  <c r="Q13" i="5"/>
  <c r="Q14" i="5"/>
  <c r="K39" i="5"/>
  <c r="L39" i="5"/>
  <c r="M39" i="5"/>
  <c r="N39" i="5"/>
  <c r="Q22" i="5"/>
  <c r="Q34" i="5"/>
  <c r="Q10" i="5"/>
  <c r="O39" i="5"/>
  <c r="Q28" i="5"/>
  <c r="Q5" i="5"/>
  <c r="Q16" i="5"/>
  <c r="Q42" i="5" l="1"/>
  <c r="U40" i="5"/>
  <c r="U42" i="5"/>
  <c r="T42" i="5"/>
  <c r="S42" i="5"/>
  <c r="R42" i="5"/>
  <c r="T40" i="5"/>
  <c r="R40" i="5"/>
  <c r="S40" i="5"/>
  <c r="S41" i="5"/>
  <c r="U39" i="5"/>
  <c r="R39" i="5"/>
  <c r="R41" i="5"/>
  <c r="T39" i="5"/>
  <c r="T41" i="5"/>
  <c r="Q39" i="5"/>
  <c r="U41" i="5"/>
  <c r="S39" i="5"/>
  <c r="Q41" i="5"/>
  <c r="Q40" i="5"/>
  <c r="X41" i="5" l="1"/>
  <c r="W41" i="5"/>
  <c r="X40" i="5"/>
  <c r="W40" i="5"/>
  <c r="X39" i="5"/>
  <c r="W39" i="5"/>
</calcChain>
</file>

<file path=xl/sharedStrings.xml><?xml version="1.0" encoding="utf-8"?>
<sst xmlns="http://schemas.openxmlformats.org/spreadsheetml/2006/main" count="883" uniqueCount="167">
  <si>
    <t>PIV</t>
  </si>
  <si>
    <t>Data set</t>
  </si>
  <si>
    <t>zoskyNov15</t>
  </si>
  <si>
    <t>zoskyDec15</t>
  </si>
  <si>
    <t>R4</t>
  </si>
  <si>
    <t>R3</t>
  </si>
  <si>
    <t>R2</t>
  </si>
  <si>
    <t>R1</t>
  </si>
  <si>
    <t>tidal volume (voxels)</t>
  </si>
  <si>
    <t>PEEP (cmH2O)</t>
  </si>
  <si>
    <t>PIP (cmH2O)</t>
  </si>
  <si>
    <t>Animal / time point</t>
  </si>
  <si>
    <t>fraction of air</t>
  </si>
  <si>
    <t>Left</t>
  </si>
  <si>
    <t>Right</t>
  </si>
  <si>
    <t>Total</t>
  </si>
  <si>
    <t>mv3d - no. of lines</t>
  </si>
  <si>
    <t>FRC (voxels)</t>
  </si>
  <si>
    <t>Compare with mask voxels (%)</t>
  </si>
  <si>
    <t>Compare with gr3d.piv (%)</t>
  </si>
  <si>
    <t>Right segment</t>
  </si>
  <si>
    <t>Left segment</t>
  </si>
  <si>
    <t>R1 segment</t>
  </si>
  <si>
    <t>R2 segment</t>
  </si>
  <si>
    <t>R3 segment</t>
  </si>
  <si>
    <t>R4 segment</t>
  </si>
  <si>
    <t>volume ("Volume") in voxels</t>
  </si>
  <si>
    <t>expansion ("Flow") in voxels</t>
  </si>
  <si>
    <t>FRC ("Flow") in voxels</t>
  </si>
  <si>
    <t>L1</t>
  </si>
  <si>
    <t>L2</t>
  </si>
  <si>
    <t>L3</t>
  </si>
  <si>
    <t>L4</t>
  </si>
  <si>
    <t>L5</t>
  </si>
  <si>
    <t>L6</t>
  </si>
  <si>
    <t>root number (trachea)</t>
  </si>
  <si>
    <t>compare tree-tc with mask_lobe.linux.x</t>
  </si>
  <si>
    <t>Left silcing</t>
  </si>
  <si>
    <t>time point used for gr3d.FRC.piv file</t>
  </si>
  <si>
    <t>mask_lobe.linux.x for FRC.piv file</t>
  </si>
  <si>
    <t>Left slicing</t>
  </si>
  <si>
    <t>mask (PIV voxels)</t>
  </si>
  <si>
    <t>mask (CT voxels)</t>
  </si>
  <si>
    <t>calibration-M94.cal.xml</t>
  </si>
  <si>
    <t>CTs (4dct-reconstruct.py)</t>
  </si>
  <si>
    <t>calibration-M67.cal.xml</t>
  </si>
  <si>
    <t>filter</t>
  </si>
  <si>
    <t>scale</t>
  </si>
  <si>
    <t>specific tidal volume (global)</t>
  </si>
  <si>
    <t>Group</t>
  </si>
  <si>
    <t>Tidal volume - global</t>
  </si>
  <si>
    <t>FRC - global</t>
  </si>
  <si>
    <t>left lobe slicing code</t>
  </si>
  <si>
    <t>i-rotation (deg, +ve, spine 12 o'clock) - fiji</t>
  </si>
  <si>
    <t>M94-t2</t>
  </si>
  <si>
    <t>LPS_vent_1h</t>
  </si>
  <si>
    <t>M37-t2</t>
  </si>
  <si>
    <t>M41-t2</t>
  </si>
  <si>
    <t>M42-t2</t>
  </si>
  <si>
    <t>M63-t2</t>
  </si>
  <si>
    <t>M73-t2</t>
  </si>
  <si>
    <t>M79-t2</t>
  </si>
  <si>
    <t>M95-t2</t>
  </si>
  <si>
    <t>M98-t2</t>
  </si>
  <si>
    <t>M104-t2</t>
  </si>
  <si>
    <t>M105-t2</t>
  </si>
  <si>
    <t>M106-t2</t>
  </si>
  <si>
    <t>Ventilator</t>
  </si>
  <si>
    <t>saline_vent_1h</t>
  </si>
  <si>
    <t>CT cal</t>
  </si>
  <si>
    <t>calibration-M38.cal.xml</t>
  </si>
  <si>
    <t>CT slice good.</t>
  </si>
  <si>
    <t>Mask - start of breath (try a00 first)</t>
  </si>
  <si>
    <t>No. of CTs, phases (-N)</t>
  </si>
  <si>
    <t>mask volume (voxels)</t>
  </si>
  <si>
    <t>File with global max expansion (gr3d.piv)</t>
  </si>
  <si>
    <t>done</t>
  </si>
  <si>
    <t>PIV VT</t>
  </si>
  <si>
    <t>a00</t>
  </si>
  <si>
    <t>a01</t>
  </si>
  <si>
    <t>a02</t>
  </si>
  <si>
    <t>a03</t>
  </si>
  <si>
    <t>a04</t>
  </si>
  <si>
    <t>a05</t>
  </si>
  <si>
    <t>a06</t>
  </si>
  <si>
    <t>a07</t>
  </si>
  <si>
    <t>gr3d.piv file</t>
  </si>
  <si>
    <t>CT</t>
  </si>
  <si>
    <t>global div</t>
  </si>
  <si>
    <t>00</t>
  </si>
  <si>
    <t>01</t>
  </si>
  <si>
    <t>02</t>
  </si>
  <si>
    <t>03</t>
  </si>
  <si>
    <t>04</t>
  </si>
  <si>
    <t>05</t>
  </si>
  <si>
    <t>06</t>
  </si>
  <si>
    <t>end-inspiration</t>
  </si>
  <si>
    <t>lung mask, airways</t>
  </si>
  <si>
    <t>RE-DO MASK HERE</t>
  </si>
  <si>
    <t>Mask (for FRC)</t>
  </si>
  <si>
    <t>run grad_piv3d_exp.x - CHECK</t>
  </si>
  <si>
    <t>Airways - USE MASK CT</t>
  </si>
  <si>
    <t>(error)</t>
  </si>
  <si>
    <t>run frangi - CODE WON'T RUN</t>
  </si>
  <si>
    <t>TREE-TC-3: Tidal volume (Vt), ie expansion at end inspiration in voxels</t>
  </si>
  <si>
    <t>TREE-TC-3: Functional residual capacity (FRC) in voxels (= air only)</t>
  </si>
  <si>
    <t>M94-t1</t>
  </si>
  <si>
    <t>M94-t3</t>
  </si>
  <si>
    <t>M95-t1</t>
  </si>
  <si>
    <t>M95-t3</t>
  </si>
  <si>
    <t>M98-t1</t>
  </si>
  <si>
    <t>M98-t3</t>
  </si>
  <si>
    <t>M104-t1</t>
  </si>
  <si>
    <t>M104-t3</t>
  </si>
  <si>
    <t>M105-t1</t>
  </si>
  <si>
    <t>M105-t3</t>
  </si>
  <si>
    <t>M106-t1</t>
  </si>
  <si>
    <t>M106-t3</t>
  </si>
  <si>
    <t>M37-t1</t>
  </si>
  <si>
    <t>M37-t3</t>
  </si>
  <si>
    <t>M41-t1</t>
  </si>
  <si>
    <t>M41-t3</t>
  </si>
  <si>
    <t>M42-t1</t>
  </si>
  <si>
    <t>M42-t3</t>
  </si>
  <si>
    <t>M63-t1</t>
  </si>
  <si>
    <t>M63-t3</t>
  </si>
  <si>
    <t>M73-t1</t>
  </si>
  <si>
    <t>M73-t3</t>
  </si>
  <si>
    <t>M79-t1</t>
  </si>
  <si>
    <t>M79-t3</t>
  </si>
  <si>
    <t>total</t>
  </si>
  <si>
    <t>L</t>
  </si>
  <si>
    <t>Volume (size) of region in voxels</t>
  </si>
  <si>
    <t>BENCHMARK</t>
  </si>
  <si>
    <t>0h MV</t>
  </si>
  <si>
    <t>1h MV</t>
  </si>
  <si>
    <t>2h MV</t>
  </si>
  <si>
    <t>AVE:</t>
  </si>
  <si>
    <t>% difference (1hr - 0hr)/0hr</t>
  </si>
  <si>
    <t>% difference (2hr - 0hr)/0hr</t>
  </si>
  <si>
    <t>% difference (2hr - 1hr)/1hr</t>
  </si>
  <si>
    <t>Lobe as fraction of whole lung</t>
  </si>
  <si>
    <t>% difference of fractions compared: 0hr, 1hr, 2hr</t>
  </si>
  <si>
    <t>AVE % diff 2hr-1hr</t>
  </si>
  <si>
    <t>AVE % diff 1hr-0hr</t>
  </si>
  <si>
    <t>AVE % diff 2hr-0hr</t>
  </si>
  <si>
    <t>incl R4</t>
  </si>
  <si>
    <t>not incl R2 and R4</t>
  </si>
  <si>
    <t>max diff per lobe</t>
  </si>
  <si>
    <t>For plot:</t>
  </si>
  <si>
    <t>CT voxels</t>
  </si>
  <si>
    <t>f-air</t>
  </si>
  <si>
    <t>air voxels</t>
  </si>
  <si>
    <t>FRC mask (PIV voxels)</t>
  </si>
  <si>
    <t>Vt mask (PIV voxels)</t>
  </si>
  <si>
    <t>diff</t>
  </si>
  <si>
    <t>difference (R)-(R1 + R2 + R3 + R4)</t>
  </si>
  <si>
    <t>left lobe slicing code: ...Aim2-ONEHR.py</t>
  </si>
  <si>
    <t>Avizo segmentation (no FF)</t>
  </si>
  <si>
    <t>compare masks FRC-Vt</t>
  </si>
  <si>
    <t>append int and f-air to max exp file: gr3d.frc.piv</t>
  </si>
  <si>
    <t>compare with Vt total volume (lung size)</t>
  </si>
  <si>
    <t>DIFF: tot/(R1+R2+R3+R4+L1+L2+L3+L4+L5+L6)</t>
  </si>
  <si>
    <t>mask_lobe.linux.x VT (max exp) and FRC</t>
  </si>
  <si>
    <t>CHECK: R/(R1+R2+R3+R4)</t>
  </si>
  <si>
    <t>CHECK: whole/(L+R)</t>
  </si>
  <si>
    <t>CHECK: L/(L1+L2+L3+L4+L5+L6)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</si>
</sst>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1"/>
      <color rgb="FFFB00FF"/>
      <name val="Menlo"/>
      <family val="2"/>
    </font>
    <font>
      <sz val="11"/>
      <color rgb="FF000000"/>
      <name val="Menlo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2"/>
      <color rgb="FF00B050"/>
      <name val="Calibri"/>
      <family val="2"/>
      <charset val="238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70C0"/>
      <name val="Calibri"/>
      <family val="2"/>
      <charset val="238"/>
      <scheme val="minor"/>
    </font>
    <font>
      <sz val="12"/>
      <color rgb="FF00B050"/>
      <name val="Calibri"/>
      <family val="2"/>
      <scheme val="minor"/>
    </font>
    <font>
      <sz val="12"/>
      <color rgb="FF0070C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88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168">
    <xf numFmtId="0" fontId="0" fillId="0" borderId="0" xfId="0"/>
    <xf numFmtId="0" fontId="5" fillId="0" borderId="0" xfId="0" applyFont="1" applyFill="1" applyAlignment="1">
      <alignment horizontal="left"/>
    </xf>
    <xf numFmtId="49" fontId="9" fillId="0" borderId="0" xfId="0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164" fontId="0" fillId="0" borderId="0" xfId="0" applyNumberForma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textRotation="90"/>
    </xf>
    <xf numFmtId="0" fontId="0" fillId="0" borderId="0" xfId="0" applyAlignment="1">
      <alignment horizontal="left"/>
    </xf>
    <xf numFmtId="0" fontId="8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0" fontId="2" fillId="14" borderId="2" xfId="0" applyFont="1" applyFill="1" applyBorder="1" applyAlignment="1">
      <alignment horizontal="left"/>
    </xf>
    <xf numFmtId="0" fontId="2" fillId="14" borderId="3" xfId="0" applyFont="1" applyFill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0" borderId="0" xfId="0" applyFont="1" applyFill="1" applyAlignment="1">
      <alignment horizontal="left" textRotation="90"/>
    </xf>
    <xf numFmtId="0" fontId="2" fillId="7" borderId="1" xfId="0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13" fillId="3" borderId="5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left" textRotation="90" wrapText="1"/>
    </xf>
    <xf numFmtId="0" fontId="2" fillId="0" borderId="1" xfId="0" applyFont="1" applyFill="1" applyBorder="1" applyAlignment="1">
      <alignment horizontal="left" textRotation="90" wrapText="1"/>
    </xf>
    <xf numFmtId="0" fontId="2" fillId="7" borderId="1" xfId="0" applyFont="1" applyFill="1" applyBorder="1" applyAlignment="1">
      <alignment horizontal="left" textRotation="90" wrapText="1"/>
    </xf>
    <xf numFmtId="49" fontId="2" fillId="7" borderId="1" xfId="0" applyNumberFormat="1" applyFont="1" applyFill="1" applyBorder="1" applyAlignment="1">
      <alignment horizontal="left" textRotation="90" wrapText="1"/>
    </xf>
    <xf numFmtId="0" fontId="2" fillId="11" borderId="1" xfId="0" applyFont="1" applyFill="1" applyBorder="1" applyAlignment="1">
      <alignment horizontal="left" textRotation="90"/>
    </xf>
    <xf numFmtId="49" fontId="2" fillId="2" borderId="1" xfId="0" applyNumberFormat="1" applyFont="1" applyFill="1" applyBorder="1" applyAlignment="1">
      <alignment horizontal="left" textRotation="90" wrapText="1"/>
    </xf>
    <xf numFmtId="0" fontId="2" fillId="10" borderId="1" xfId="0" applyFont="1" applyFill="1" applyBorder="1" applyAlignment="1">
      <alignment horizontal="left" textRotation="90"/>
    </xf>
    <xf numFmtId="0" fontId="2" fillId="6" borderId="6" xfId="0" applyFont="1" applyFill="1" applyBorder="1" applyAlignment="1">
      <alignment horizontal="left" textRotation="90"/>
    </xf>
    <xf numFmtId="49" fontId="11" fillId="6" borderId="6" xfId="0" applyNumberFormat="1" applyFont="1" applyFill="1" applyBorder="1" applyAlignment="1">
      <alignment horizontal="left" wrapText="1"/>
    </xf>
    <xf numFmtId="164" fontId="11" fillId="6" borderId="6" xfId="0" applyNumberFormat="1" applyFont="1" applyFill="1" applyBorder="1" applyAlignment="1">
      <alignment horizontal="left" textRotation="90" wrapText="1"/>
    </xf>
    <xf numFmtId="49" fontId="13" fillId="0" borderId="6" xfId="0" applyNumberFormat="1" applyFont="1" applyFill="1" applyBorder="1" applyAlignment="1">
      <alignment horizontal="left" textRotation="90" wrapText="1"/>
    </xf>
    <xf numFmtId="0" fontId="13" fillId="0" borderId="6" xfId="0" applyFont="1" applyFill="1" applyBorder="1" applyAlignment="1">
      <alignment horizontal="left" textRotation="90"/>
    </xf>
    <xf numFmtId="0" fontId="2" fillId="2" borderId="6" xfId="0" applyFont="1" applyFill="1" applyBorder="1" applyAlignment="1">
      <alignment horizontal="left" textRotation="90"/>
    </xf>
    <xf numFmtId="0" fontId="2" fillId="3" borderId="6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/>
    </xf>
    <xf numFmtId="0" fontId="13" fillId="0" borderId="6" xfId="0" applyFont="1" applyFill="1" applyBorder="1" applyAlignment="1">
      <alignment horizontal="left" textRotation="90" wrapText="1"/>
    </xf>
    <xf numFmtId="2" fontId="13" fillId="0" borderId="1" xfId="0" applyNumberFormat="1" applyFont="1" applyFill="1" applyBorder="1" applyAlignment="1">
      <alignment horizontal="left" textRotation="90"/>
    </xf>
    <xf numFmtId="0" fontId="2" fillId="6" borderId="1" xfId="0" applyFont="1" applyFill="1" applyBorder="1" applyAlignment="1">
      <alignment horizontal="left" textRotation="90"/>
    </xf>
    <xf numFmtId="0" fontId="2" fillId="13" borderId="1" xfId="0" applyFont="1" applyFill="1" applyBorder="1" applyAlignment="1">
      <alignment horizontal="left" textRotation="90"/>
    </xf>
    <xf numFmtId="0" fontId="2" fillId="13" borderId="6" xfId="0" applyFont="1" applyFill="1" applyBorder="1" applyAlignment="1">
      <alignment horizontal="left" textRotation="90" wrapText="1"/>
    </xf>
    <xf numFmtId="0" fontId="9" fillId="0" borderId="0" xfId="0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166" fontId="0" fillId="0" borderId="0" xfId="0" applyNumberFormat="1" applyFill="1" applyAlignment="1">
      <alignment horizontal="left"/>
    </xf>
    <xf numFmtId="9" fontId="0" fillId="0" borderId="0" xfId="1485" applyFont="1" applyFill="1" applyAlignment="1">
      <alignment horizontal="left"/>
    </xf>
    <xf numFmtId="0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9" fontId="9" fillId="0" borderId="0" xfId="1485" applyFont="1" applyFill="1" applyAlignment="1">
      <alignment horizontal="left"/>
    </xf>
    <xf numFmtId="2" fontId="9" fillId="0" borderId="0" xfId="0" applyNumberFormat="1" applyFont="1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Alignment="1">
      <alignment horizontal="left"/>
    </xf>
    <xf numFmtId="2" fontId="0" fillId="0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2" fontId="9" fillId="0" borderId="0" xfId="1485" applyNumberFormat="1" applyFont="1" applyFill="1" applyAlignment="1">
      <alignment horizontal="left"/>
    </xf>
    <xf numFmtId="0" fontId="14" fillId="0" borderId="0" xfId="0" applyFont="1" applyFill="1" applyBorder="1" applyAlignment="1">
      <alignment horizontal="left"/>
    </xf>
    <xf numFmtId="2" fontId="6" fillId="0" borderId="0" xfId="0" applyNumberFormat="1" applyFont="1" applyFill="1" applyAlignment="1">
      <alignment horizontal="left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1" fontId="9" fillId="0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2" fillId="12" borderId="3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/>
    </xf>
    <xf numFmtId="0" fontId="15" fillId="0" borderId="0" xfId="0" applyFont="1"/>
    <xf numFmtId="0" fontId="16" fillId="0" borderId="0" xfId="0" applyFont="1"/>
    <xf numFmtId="0" fontId="2" fillId="0" borderId="0" xfId="0" applyFont="1" applyFill="1" applyAlignment="1">
      <alignment horizontal="left"/>
    </xf>
    <xf numFmtId="0" fontId="2" fillId="0" borderId="0" xfId="0" applyFont="1"/>
    <xf numFmtId="49" fontId="0" fillId="0" borderId="0" xfId="0" applyNumberFormat="1"/>
    <xf numFmtId="49" fontId="0" fillId="7" borderId="0" xfId="0" applyNumberFormat="1" applyFill="1"/>
    <xf numFmtId="49" fontId="0" fillId="7" borderId="0" xfId="0" applyNumberFormat="1" applyFont="1" applyFill="1"/>
    <xf numFmtId="49" fontId="0" fillId="0" borderId="0" xfId="0" applyNumberFormat="1" applyFill="1"/>
    <xf numFmtId="49" fontId="0" fillId="0" borderId="0" xfId="0" applyNumberFormat="1" applyFont="1" applyFill="1"/>
    <xf numFmtId="0" fontId="0" fillId="0" borderId="0" xfId="0" applyFill="1"/>
    <xf numFmtId="49" fontId="2" fillId="10" borderId="1" xfId="0" applyNumberFormat="1" applyFont="1" applyFill="1" applyBorder="1" applyAlignment="1">
      <alignment horizontal="left" textRotation="90" wrapText="1"/>
    </xf>
    <xf numFmtId="0" fontId="13" fillId="10" borderId="1" xfId="0" applyFont="1" applyFill="1" applyBorder="1" applyAlignment="1">
      <alignment horizontal="left" textRotation="90" wrapText="1"/>
    </xf>
    <xf numFmtId="0" fontId="17" fillId="0" borderId="0" xfId="0" applyFont="1" applyFill="1" applyAlignment="1">
      <alignment horizontal="left"/>
    </xf>
    <xf numFmtId="0" fontId="18" fillId="0" borderId="0" xfId="3880"/>
    <xf numFmtId="0" fontId="19" fillId="0" borderId="1" xfId="3880" applyFont="1" applyBorder="1" applyAlignment="1">
      <alignment wrapText="1"/>
    </xf>
    <xf numFmtId="1" fontId="18" fillId="0" borderId="0" xfId="3880" applyNumberFormat="1"/>
    <xf numFmtId="0" fontId="9" fillId="0" borderId="0" xfId="3880" applyFont="1"/>
    <xf numFmtId="0" fontId="2" fillId="0" borderId="0" xfId="3880" applyFont="1"/>
    <xf numFmtId="2" fontId="18" fillId="0" borderId="0" xfId="3880" applyNumberFormat="1"/>
    <xf numFmtId="0" fontId="19" fillId="0" borderId="1" xfId="3880" applyFont="1" applyFill="1" applyBorder="1" applyAlignment="1">
      <alignment horizontal="center"/>
    </xf>
    <xf numFmtId="0" fontId="18" fillId="0" borderId="0" xfId="3880" applyFill="1"/>
    <xf numFmtId="1" fontId="18" fillId="0" borderId="0" xfId="3880" applyNumberFormat="1" applyAlignment="1">
      <alignment horizontal="right"/>
    </xf>
    <xf numFmtId="1" fontId="6" fillId="0" borderId="0" xfId="3880" applyNumberFormat="1" applyFont="1" applyAlignment="1">
      <alignment horizontal="right"/>
    </xf>
    <xf numFmtId="0" fontId="2" fillId="0" borderId="0" xfId="3880" applyFont="1" applyBorder="1" applyAlignment="1">
      <alignment horizontal="center"/>
    </xf>
    <xf numFmtId="0" fontId="19" fillId="0" borderId="0" xfId="3880" applyFont="1" applyFill="1" applyBorder="1" applyAlignment="1">
      <alignment horizontal="center"/>
    </xf>
    <xf numFmtId="1" fontId="18" fillId="0" borderId="0" xfId="3880" applyNumberFormat="1" applyBorder="1" applyAlignment="1">
      <alignment horizontal="right"/>
    </xf>
    <xf numFmtId="0" fontId="18" fillId="0" borderId="0" xfId="3880" applyBorder="1"/>
    <xf numFmtId="0" fontId="20" fillId="0" borderId="0" xfId="3880" applyFont="1"/>
    <xf numFmtId="0" fontId="21" fillId="0" borderId="0" xfId="3880" applyFont="1"/>
    <xf numFmtId="164" fontId="18" fillId="0" borderId="0" xfId="3880" applyNumberFormat="1" applyFill="1"/>
    <xf numFmtId="164" fontId="2" fillId="0" borderId="0" xfId="3880" applyNumberFormat="1" applyFont="1" applyFill="1"/>
    <xf numFmtId="164" fontId="2" fillId="15" borderId="0" xfId="3880" applyNumberFormat="1" applyFont="1" applyFill="1"/>
    <xf numFmtId="0" fontId="2" fillId="0" borderId="0" xfId="3880" applyFont="1" applyFill="1" applyBorder="1" applyAlignment="1">
      <alignment horizontal="center"/>
    </xf>
    <xf numFmtId="0" fontId="24" fillId="0" borderId="0" xfId="3880" applyFont="1"/>
    <xf numFmtId="2" fontId="21" fillId="0" borderId="0" xfId="3880" applyNumberFormat="1" applyFont="1"/>
    <xf numFmtId="2" fontId="24" fillId="0" borderId="0" xfId="3880" applyNumberFormat="1" applyFont="1"/>
    <xf numFmtId="2" fontId="2" fillId="0" borderId="0" xfId="3880" applyNumberFormat="1" applyFont="1"/>
    <xf numFmtId="164" fontId="17" fillId="0" borderId="0" xfId="3880" applyNumberFormat="1" applyFont="1" applyFill="1"/>
    <xf numFmtId="164" fontId="23" fillId="0" borderId="0" xfId="3880" applyNumberFormat="1" applyFont="1" applyFill="1"/>
    <xf numFmtId="2" fontId="2" fillId="16" borderId="0" xfId="3880" applyNumberFormat="1" applyFont="1" applyFill="1"/>
    <xf numFmtId="164" fontId="22" fillId="16" borderId="0" xfId="3880" applyNumberFormat="1" applyFont="1" applyFill="1"/>
    <xf numFmtId="2" fontId="21" fillId="0" borderId="0" xfId="3880" applyNumberFormat="1" applyFont="1" applyFill="1"/>
    <xf numFmtId="0" fontId="2" fillId="0" borderId="0" xfId="3880" applyFont="1" applyFill="1"/>
    <xf numFmtId="0" fontId="21" fillId="0" borderId="0" xfId="3880" applyFont="1" applyFill="1"/>
    <xf numFmtId="0" fontId="24" fillId="0" borderId="0" xfId="3880" applyFont="1" applyFill="1"/>
    <xf numFmtId="164" fontId="25" fillId="0" borderId="0" xfId="3880" applyNumberFormat="1" applyFont="1" applyFill="1"/>
    <xf numFmtId="164" fontId="12" fillId="0" borderId="0" xfId="3880" applyNumberFormat="1" applyFont="1" applyFill="1"/>
    <xf numFmtId="164" fontId="26" fillId="0" borderId="0" xfId="3880" applyNumberFormat="1" applyFont="1" applyFill="1"/>
    <xf numFmtId="1" fontId="0" fillId="0" borderId="0" xfId="0" applyNumberFormat="1"/>
    <xf numFmtId="0" fontId="6" fillId="0" borderId="0" xfId="0" applyFont="1"/>
    <xf numFmtId="0" fontId="2" fillId="0" borderId="6" xfId="0" applyFont="1" applyFill="1" applyBorder="1" applyAlignment="1">
      <alignment textRotation="90"/>
    </xf>
    <xf numFmtId="1" fontId="18" fillId="0" borderId="0" xfId="3880" applyNumberFormat="1" applyAlignment="1">
      <alignment horizontal="left"/>
    </xf>
    <xf numFmtId="1" fontId="18" fillId="0" borderId="0" xfId="3880" applyNumberFormat="1" applyFill="1" applyAlignment="1">
      <alignment horizontal="left"/>
    </xf>
    <xf numFmtId="2" fontId="0" fillId="0" borderId="0" xfId="1485" applyNumberFormat="1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14" borderId="5" xfId="0" applyFont="1" applyFill="1" applyBorder="1" applyAlignment="1">
      <alignment horizontal="left"/>
    </xf>
    <xf numFmtId="0" fontId="2" fillId="14" borderId="8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 wrapText="1"/>
    </xf>
    <xf numFmtId="49" fontId="2" fillId="3" borderId="3" xfId="0" applyNumberFormat="1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13" borderId="2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left"/>
    </xf>
    <xf numFmtId="0" fontId="2" fillId="13" borderId="4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0" borderId="2" xfId="3880" applyFont="1" applyBorder="1" applyAlignment="1">
      <alignment horizontal="center"/>
    </xf>
    <xf numFmtId="0" fontId="2" fillId="0" borderId="3" xfId="3880" applyFont="1" applyBorder="1" applyAlignment="1">
      <alignment horizontal="center"/>
    </xf>
    <xf numFmtId="0" fontId="2" fillId="0" borderId="4" xfId="3880" applyFont="1" applyBorder="1" applyAlignment="1">
      <alignment horizontal="center"/>
    </xf>
    <xf numFmtId="0" fontId="2" fillId="0" borderId="2" xfId="3880" applyFont="1" applyFill="1" applyBorder="1" applyAlignment="1">
      <alignment horizontal="center"/>
    </xf>
    <xf numFmtId="0" fontId="2" fillId="0" borderId="3" xfId="3880" applyFont="1" applyFill="1" applyBorder="1" applyAlignment="1">
      <alignment horizontal="center"/>
    </xf>
    <xf numFmtId="0" fontId="2" fillId="0" borderId="4" xfId="3880" applyFont="1" applyFill="1" applyBorder="1" applyAlignment="1">
      <alignment horizontal="center"/>
    </xf>
    <xf numFmtId="11" fontId="0" fillId="0" borderId="0" xfId="0" applyNumberFormat="1" applyFill="1" applyAlignment="1">
      <alignment horizontal="left"/>
    </xf>
    <xf numFmtId="11" fontId="0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 textRotation="90"/>
    </xf>
  </cellXfs>
  <cellStyles count="38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Followed Hyperlink" xfId="2507" builtinId="9" hidden="1"/>
    <cellStyle name="Followed Hyperlink" xfId="2509" builtinId="9" hidden="1"/>
    <cellStyle name="Followed Hyperlink" xfId="2511" builtinId="9" hidden="1"/>
    <cellStyle name="Followed Hyperlink" xfId="2513" builtinId="9" hidden="1"/>
    <cellStyle name="Followed Hyperlink" xfId="2515" builtinId="9" hidden="1"/>
    <cellStyle name="Followed Hyperlink" xfId="2517" builtinId="9" hidden="1"/>
    <cellStyle name="Followed Hyperlink" xfId="2519" builtinId="9" hidden="1"/>
    <cellStyle name="Followed Hyperlink" xfId="2521" builtinId="9" hidden="1"/>
    <cellStyle name="Followed Hyperlink" xfId="2523" builtinId="9" hidden="1"/>
    <cellStyle name="Followed Hyperlink" xfId="2525" builtinId="9" hidden="1"/>
    <cellStyle name="Followed Hyperlink" xfId="2527" builtinId="9" hidden="1"/>
    <cellStyle name="Followed Hyperlink" xfId="2529" builtinId="9" hidden="1"/>
    <cellStyle name="Followed Hyperlink" xfId="2531" builtinId="9" hidden="1"/>
    <cellStyle name="Followed Hyperlink" xfId="2533" builtinId="9" hidden="1"/>
    <cellStyle name="Followed Hyperlink" xfId="2535" builtinId="9" hidden="1"/>
    <cellStyle name="Followed Hyperlink" xfId="2537" builtinId="9" hidden="1"/>
    <cellStyle name="Followed Hyperlink" xfId="2539" builtinId="9" hidden="1"/>
    <cellStyle name="Followed Hyperlink" xfId="2541" builtinId="9" hidden="1"/>
    <cellStyle name="Followed Hyperlink" xfId="2543" builtinId="9" hidden="1"/>
    <cellStyle name="Followed Hyperlink" xfId="2545" builtinId="9" hidden="1"/>
    <cellStyle name="Followed Hyperlink" xfId="2547" builtinId="9" hidden="1"/>
    <cellStyle name="Followed Hyperlink" xfId="2549" builtinId="9" hidden="1"/>
    <cellStyle name="Followed Hyperlink" xfId="2551" builtinId="9" hidden="1"/>
    <cellStyle name="Followed Hyperlink" xfId="2553" builtinId="9" hidden="1"/>
    <cellStyle name="Followed Hyperlink" xfId="2555" builtinId="9" hidden="1"/>
    <cellStyle name="Followed Hyperlink" xfId="2557" builtinId="9" hidden="1"/>
    <cellStyle name="Followed Hyperlink" xfId="2559" builtinId="9" hidden="1"/>
    <cellStyle name="Followed Hyperlink" xfId="2561" builtinId="9" hidden="1"/>
    <cellStyle name="Followed Hyperlink" xfId="2563" builtinId="9" hidden="1"/>
    <cellStyle name="Followed Hyperlink" xfId="2565" builtinId="9" hidden="1"/>
    <cellStyle name="Followed Hyperlink" xfId="2567" builtinId="9" hidden="1"/>
    <cellStyle name="Followed Hyperlink" xfId="2569" builtinId="9" hidden="1"/>
    <cellStyle name="Followed Hyperlink" xfId="2571" builtinId="9" hidden="1"/>
    <cellStyle name="Followed Hyperlink" xfId="2573" builtinId="9" hidden="1"/>
    <cellStyle name="Followed Hyperlink" xfId="2575" builtinId="9" hidden="1"/>
    <cellStyle name="Followed Hyperlink" xfId="2577" builtinId="9" hidden="1"/>
    <cellStyle name="Followed Hyperlink" xfId="2579" builtinId="9" hidden="1"/>
    <cellStyle name="Followed Hyperlink" xfId="2581" builtinId="9" hidden="1"/>
    <cellStyle name="Followed Hyperlink" xfId="2583" builtinId="9" hidden="1"/>
    <cellStyle name="Followed Hyperlink" xfId="2585" builtinId="9" hidden="1"/>
    <cellStyle name="Followed Hyperlink" xfId="2587" builtinId="9" hidden="1"/>
    <cellStyle name="Followed Hyperlink" xfId="2589" builtinId="9" hidden="1"/>
    <cellStyle name="Followed Hyperlink" xfId="2591" builtinId="9" hidden="1"/>
    <cellStyle name="Followed Hyperlink" xfId="2593" builtinId="9" hidden="1"/>
    <cellStyle name="Followed Hyperlink" xfId="2595" builtinId="9" hidden="1"/>
    <cellStyle name="Followed Hyperlink" xfId="2597" builtinId="9" hidden="1"/>
    <cellStyle name="Followed Hyperlink" xfId="2599" builtinId="9" hidden="1"/>
    <cellStyle name="Followed Hyperlink" xfId="2601" builtinId="9" hidden="1"/>
    <cellStyle name="Followed Hyperlink" xfId="2603" builtinId="9" hidden="1"/>
    <cellStyle name="Followed Hyperlink" xfId="2605" builtinId="9" hidden="1"/>
    <cellStyle name="Followed Hyperlink" xfId="2607" builtinId="9" hidden="1"/>
    <cellStyle name="Followed Hyperlink" xfId="2609" builtinId="9" hidden="1"/>
    <cellStyle name="Followed Hyperlink" xfId="2611" builtinId="9" hidden="1"/>
    <cellStyle name="Followed Hyperlink" xfId="2613" builtinId="9" hidden="1"/>
    <cellStyle name="Followed Hyperlink" xfId="2615" builtinId="9" hidden="1"/>
    <cellStyle name="Followed Hyperlink" xfId="2617" builtinId="9" hidden="1"/>
    <cellStyle name="Followed Hyperlink" xfId="2619" builtinId="9" hidden="1"/>
    <cellStyle name="Followed Hyperlink" xfId="2621" builtinId="9" hidden="1"/>
    <cellStyle name="Followed Hyperlink" xfId="2623" builtinId="9" hidden="1"/>
    <cellStyle name="Followed Hyperlink" xfId="2625" builtinId="9" hidden="1"/>
    <cellStyle name="Followed Hyperlink" xfId="2627" builtinId="9" hidden="1"/>
    <cellStyle name="Followed Hyperlink" xfId="2629" builtinId="9" hidden="1"/>
    <cellStyle name="Followed Hyperlink" xfId="2631" builtinId="9" hidden="1"/>
    <cellStyle name="Followed Hyperlink" xfId="2633" builtinId="9" hidden="1"/>
    <cellStyle name="Followed Hyperlink" xfId="2635" builtinId="9" hidden="1"/>
    <cellStyle name="Followed Hyperlink" xfId="2637" builtinId="9" hidden="1"/>
    <cellStyle name="Followed Hyperlink" xfId="2639" builtinId="9" hidden="1"/>
    <cellStyle name="Followed Hyperlink" xfId="2641" builtinId="9" hidden="1"/>
    <cellStyle name="Followed Hyperlink" xfId="2643" builtinId="9" hidden="1"/>
    <cellStyle name="Followed Hyperlink" xfId="2645" builtinId="9" hidden="1"/>
    <cellStyle name="Followed Hyperlink" xfId="2647" builtinId="9" hidden="1"/>
    <cellStyle name="Followed Hyperlink" xfId="2649" builtinId="9" hidden="1"/>
    <cellStyle name="Followed Hyperlink" xfId="2651" builtinId="9" hidden="1"/>
    <cellStyle name="Followed Hyperlink" xfId="2653" builtinId="9" hidden="1"/>
    <cellStyle name="Followed Hyperlink" xfId="2655" builtinId="9" hidden="1"/>
    <cellStyle name="Followed Hyperlink" xfId="2657" builtinId="9" hidden="1"/>
    <cellStyle name="Followed Hyperlink" xfId="2659" builtinId="9" hidden="1"/>
    <cellStyle name="Followed Hyperlink" xfId="2661" builtinId="9" hidden="1"/>
    <cellStyle name="Followed Hyperlink" xfId="2663" builtinId="9" hidden="1"/>
    <cellStyle name="Followed Hyperlink" xfId="2665" builtinId="9" hidden="1"/>
    <cellStyle name="Followed Hyperlink" xfId="2667" builtinId="9" hidden="1"/>
    <cellStyle name="Followed Hyperlink" xfId="2669" builtinId="9" hidden="1"/>
    <cellStyle name="Followed Hyperlink" xfId="2671" builtinId="9" hidden="1"/>
    <cellStyle name="Followed Hyperlink" xfId="2673" builtinId="9" hidden="1"/>
    <cellStyle name="Followed Hyperlink" xfId="2675" builtinId="9" hidden="1"/>
    <cellStyle name="Followed Hyperlink" xfId="2677" builtinId="9" hidden="1"/>
    <cellStyle name="Followed Hyperlink" xfId="2679" builtinId="9" hidden="1"/>
    <cellStyle name="Followed Hyperlink" xfId="2681" builtinId="9" hidden="1"/>
    <cellStyle name="Followed Hyperlink" xfId="2683" builtinId="9" hidden="1"/>
    <cellStyle name="Followed Hyperlink" xfId="2685" builtinId="9" hidden="1"/>
    <cellStyle name="Followed Hyperlink" xfId="2687" builtinId="9" hidden="1"/>
    <cellStyle name="Followed Hyperlink" xfId="2689" builtinId="9" hidden="1"/>
    <cellStyle name="Followed Hyperlink" xfId="2691" builtinId="9" hidden="1"/>
    <cellStyle name="Followed Hyperlink" xfId="2693" builtinId="9" hidden="1"/>
    <cellStyle name="Followed Hyperlink" xfId="2695" builtinId="9" hidden="1"/>
    <cellStyle name="Followed Hyperlink" xfId="2697" builtinId="9" hidden="1"/>
    <cellStyle name="Followed Hyperlink" xfId="2699" builtinId="9" hidden="1"/>
    <cellStyle name="Followed Hyperlink" xfId="2701" builtinId="9" hidden="1"/>
    <cellStyle name="Followed Hyperlink" xfId="2703" builtinId="9" hidden="1"/>
    <cellStyle name="Followed Hyperlink" xfId="2705" builtinId="9" hidden="1"/>
    <cellStyle name="Followed Hyperlink" xfId="2707" builtinId="9" hidden="1"/>
    <cellStyle name="Followed Hyperlink" xfId="2709" builtinId="9" hidden="1"/>
    <cellStyle name="Followed Hyperlink" xfId="2711" builtinId="9" hidden="1"/>
    <cellStyle name="Followed Hyperlink" xfId="2713" builtinId="9" hidden="1"/>
    <cellStyle name="Followed Hyperlink" xfId="2715" builtinId="9" hidden="1"/>
    <cellStyle name="Followed Hyperlink" xfId="2717" builtinId="9" hidden="1"/>
    <cellStyle name="Followed Hyperlink" xfId="2719" builtinId="9" hidden="1"/>
    <cellStyle name="Followed Hyperlink" xfId="2721" builtinId="9" hidden="1"/>
    <cellStyle name="Followed Hyperlink" xfId="2723" builtinId="9" hidden="1"/>
    <cellStyle name="Followed Hyperlink" xfId="2725" builtinId="9" hidden="1"/>
    <cellStyle name="Followed Hyperlink" xfId="2727" builtinId="9" hidden="1"/>
    <cellStyle name="Followed Hyperlink" xfId="2729" builtinId="9" hidden="1"/>
    <cellStyle name="Followed Hyperlink" xfId="2731" builtinId="9" hidden="1"/>
    <cellStyle name="Followed Hyperlink" xfId="2733" builtinId="9" hidden="1"/>
    <cellStyle name="Followed Hyperlink" xfId="2735" builtinId="9" hidden="1"/>
    <cellStyle name="Followed Hyperlink" xfId="2737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771" builtinId="9" hidden="1"/>
    <cellStyle name="Followed Hyperlink" xfId="2773" builtinId="9" hidden="1"/>
    <cellStyle name="Followed Hyperlink" xfId="2775" builtinId="9" hidden="1"/>
    <cellStyle name="Followed Hyperlink" xfId="2777" builtinId="9" hidden="1"/>
    <cellStyle name="Followed Hyperlink" xfId="2779" builtinId="9" hidden="1"/>
    <cellStyle name="Followed Hyperlink" xfId="2781" builtinId="9" hidden="1"/>
    <cellStyle name="Followed Hyperlink" xfId="2783" builtinId="9" hidden="1"/>
    <cellStyle name="Followed Hyperlink" xfId="2785" builtinId="9" hidden="1"/>
    <cellStyle name="Followed Hyperlink" xfId="2787" builtinId="9" hidden="1"/>
    <cellStyle name="Followed Hyperlink" xfId="2789" builtinId="9" hidden="1"/>
    <cellStyle name="Followed Hyperlink" xfId="2791" builtinId="9" hidden="1"/>
    <cellStyle name="Followed Hyperlink" xfId="2793" builtinId="9" hidden="1"/>
    <cellStyle name="Followed Hyperlink" xfId="2795" builtinId="9" hidden="1"/>
    <cellStyle name="Followed Hyperlink" xfId="2797" builtinId="9" hidden="1"/>
    <cellStyle name="Followed Hyperlink" xfId="2799" builtinId="9" hidden="1"/>
    <cellStyle name="Followed Hyperlink" xfId="2801" builtinId="9" hidden="1"/>
    <cellStyle name="Followed Hyperlink" xfId="2803" builtinId="9" hidden="1"/>
    <cellStyle name="Followed Hyperlink" xfId="2805" builtinId="9" hidden="1"/>
    <cellStyle name="Followed Hyperlink" xfId="2807" builtinId="9" hidden="1"/>
    <cellStyle name="Followed Hyperlink" xfId="2809" builtinId="9" hidden="1"/>
    <cellStyle name="Followed Hyperlink" xfId="2811" builtinId="9" hidden="1"/>
    <cellStyle name="Followed Hyperlink" xfId="2813" builtinId="9" hidden="1"/>
    <cellStyle name="Followed Hyperlink" xfId="2815" builtinId="9" hidden="1"/>
    <cellStyle name="Followed Hyperlink" xfId="2817" builtinId="9" hidden="1"/>
    <cellStyle name="Followed Hyperlink" xfId="2819" builtinId="9" hidden="1"/>
    <cellStyle name="Followed Hyperlink" xfId="2821" builtinId="9" hidden="1"/>
    <cellStyle name="Followed Hyperlink" xfId="2823" builtinId="9" hidden="1"/>
    <cellStyle name="Followed Hyperlink" xfId="2825" builtinId="9" hidden="1"/>
    <cellStyle name="Followed Hyperlink" xfId="2827" builtinId="9" hidden="1"/>
    <cellStyle name="Followed Hyperlink" xfId="2829" builtinId="9" hidden="1"/>
    <cellStyle name="Followed Hyperlink" xfId="2831" builtinId="9" hidden="1"/>
    <cellStyle name="Followed Hyperlink" xfId="2833" builtinId="9" hidden="1"/>
    <cellStyle name="Followed Hyperlink" xfId="2835" builtinId="9" hidden="1"/>
    <cellStyle name="Followed Hyperlink" xfId="2837" builtinId="9" hidden="1"/>
    <cellStyle name="Followed Hyperlink" xfId="2839" builtinId="9" hidden="1"/>
    <cellStyle name="Followed Hyperlink" xfId="2841" builtinId="9" hidden="1"/>
    <cellStyle name="Followed Hyperlink" xfId="2843" builtinId="9" hidden="1"/>
    <cellStyle name="Followed Hyperlink" xfId="2845" builtinId="9" hidden="1"/>
    <cellStyle name="Followed Hyperlink" xfId="2847" builtinId="9" hidden="1"/>
    <cellStyle name="Followed Hyperlink" xfId="2849" builtinId="9" hidden="1"/>
    <cellStyle name="Followed Hyperlink" xfId="2851" builtinId="9" hidden="1"/>
    <cellStyle name="Followed Hyperlink" xfId="2853" builtinId="9" hidden="1"/>
    <cellStyle name="Followed Hyperlink" xfId="2855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7" builtinId="9" hidden="1"/>
    <cellStyle name="Followed Hyperlink" xfId="2889" builtinId="9" hidden="1"/>
    <cellStyle name="Followed Hyperlink" xfId="2891" builtinId="9" hidden="1"/>
    <cellStyle name="Followed Hyperlink" xfId="2893" builtinId="9" hidden="1"/>
    <cellStyle name="Followed Hyperlink" xfId="2895" builtinId="9" hidden="1"/>
    <cellStyle name="Followed Hyperlink" xfId="2897" builtinId="9" hidden="1"/>
    <cellStyle name="Followed Hyperlink" xfId="2899" builtinId="9" hidden="1"/>
    <cellStyle name="Followed Hyperlink" xfId="2901" builtinId="9" hidden="1"/>
    <cellStyle name="Followed Hyperlink" xfId="2903" builtinId="9" hidden="1"/>
    <cellStyle name="Followed Hyperlink" xfId="2905" builtinId="9" hidden="1"/>
    <cellStyle name="Followed Hyperlink" xfId="2907" builtinId="9" hidden="1"/>
    <cellStyle name="Followed Hyperlink" xfId="2909" builtinId="9" hidden="1"/>
    <cellStyle name="Followed Hyperlink" xfId="2911" builtinId="9" hidden="1"/>
    <cellStyle name="Followed Hyperlink" xfId="2913" builtinId="9" hidden="1"/>
    <cellStyle name="Followed Hyperlink" xfId="2915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7" builtinId="9" hidden="1"/>
    <cellStyle name="Followed Hyperlink" xfId="2949" builtinId="9" hidden="1"/>
    <cellStyle name="Followed Hyperlink" xfId="2951" builtinId="9" hidden="1"/>
    <cellStyle name="Followed Hyperlink" xfId="2953" builtinId="9" hidden="1"/>
    <cellStyle name="Followed Hyperlink" xfId="2955" builtinId="9" hidden="1"/>
    <cellStyle name="Followed Hyperlink" xfId="2957" builtinId="9" hidden="1"/>
    <cellStyle name="Followed Hyperlink" xfId="2959" builtinId="9" hidden="1"/>
    <cellStyle name="Followed Hyperlink" xfId="2961" builtinId="9" hidden="1"/>
    <cellStyle name="Followed Hyperlink" xfId="2963" builtinId="9" hidden="1"/>
    <cellStyle name="Followed Hyperlink" xfId="2965" builtinId="9" hidden="1"/>
    <cellStyle name="Followed Hyperlink" xfId="2967" builtinId="9" hidden="1"/>
    <cellStyle name="Followed Hyperlink" xfId="2969" builtinId="9" hidden="1"/>
    <cellStyle name="Followed Hyperlink" xfId="2971" builtinId="9" hidden="1"/>
    <cellStyle name="Followed Hyperlink" xfId="2973" builtinId="9" hidden="1"/>
    <cellStyle name="Followed Hyperlink" xfId="2975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7" builtinId="9" hidden="1"/>
    <cellStyle name="Followed Hyperlink" xfId="3009" builtinId="9" hidden="1"/>
    <cellStyle name="Followed Hyperlink" xfId="3011" builtinId="9" hidden="1"/>
    <cellStyle name="Followed Hyperlink" xfId="3013" builtinId="9" hidden="1"/>
    <cellStyle name="Followed Hyperlink" xfId="3015" builtinId="9" hidden="1"/>
    <cellStyle name="Followed Hyperlink" xfId="3017" builtinId="9" hidden="1"/>
    <cellStyle name="Followed Hyperlink" xfId="3019" builtinId="9" hidden="1"/>
    <cellStyle name="Followed Hyperlink" xfId="3021" builtinId="9" hidden="1"/>
    <cellStyle name="Followed Hyperlink" xfId="3023" builtinId="9" hidden="1"/>
    <cellStyle name="Followed Hyperlink" xfId="3025" builtinId="9" hidden="1"/>
    <cellStyle name="Followed Hyperlink" xfId="3027" builtinId="9" hidden="1"/>
    <cellStyle name="Followed Hyperlink" xfId="3029" builtinId="9" hidden="1"/>
    <cellStyle name="Followed Hyperlink" xfId="3031" builtinId="9" hidden="1"/>
    <cellStyle name="Followed Hyperlink" xfId="3033" builtinId="9" hidden="1"/>
    <cellStyle name="Followed Hyperlink" xfId="3035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3" builtinId="9" hidden="1"/>
    <cellStyle name="Followed Hyperlink" xfId="3045" builtinId="9" hidden="1"/>
    <cellStyle name="Followed Hyperlink" xfId="3047" builtinId="9" hidden="1"/>
    <cellStyle name="Followed Hyperlink" xfId="3049" builtinId="9" hidden="1"/>
    <cellStyle name="Followed Hyperlink" xfId="3051" builtinId="9" hidden="1"/>
    <cellStyle name="Followed Hyperlink" xfId="3053" builtinId="9" hidden="1"/>
    <cellStyle name="Followed Hyperlink" xfId="3055" builtinId="9" hidden="1"/>
    <cellStyle name="Followed Hyperlink" xfId="3057" builtinId="9" hidden="1"/>
    <cellStyle name="Followed Hyperlink" xfId="3059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7" builtinId="9" hidden="1"/>
    <cellStyle name="Followed Hyperlink" xfId="3069" builtinId="9" hidden="1"/>
    <cellStyle name="Followed Hyperlink" xfId="3071" builtinId="9" hidden="1"/>
    <cellStyle name="Followed Hyperlink" xfId="3073" builtinId="9" hidden="1"/>
    <cellStyle name="Followed Hyperlink" xfId="3075" builtinId="9" hidden="1"/>
    <cellStyle name="Followed Hyperlink" xfId="3077" builtinId="9" hidden="1"/>
    <cellStyle name="Followed Hyperlink" xfId="3079" builtinId="9" hidden="1"/>
    <cellStyle name="Followed Hyperlink" xfId="3081" builtinId="9" hidden="1"/>
    <cellStyle name="Followed Hyperlink" xfId="3083" builtinId="9" hidden="1"/>
    <cellStyle name="Followed Hyperlink" xfId="3085" builtinId="9" hidden="1"/>
    <cellStyle name="Followed Hyperlink" xfId="3087" builtinId="9" hidden="1"/>
    <cellStyle name="Followed Hyperlink" xfId="3089" builtinId="9" hidden="1"/>
    <cellStyle name="Followed Hyperlink" xfId="3091" builtinId="9" hidden="1"/>
    <cellStyle name="Followed Hyperlink" xfId="3093" builtinId="9" hidden="1"/>
    <cellStyle name="Followed Hyperlink" xfId="3095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7" builtinId="9" hidden="1"/>
    <cellStyle name="Followed Hyperlink" xfId="3129" builtinId="9" hidden="1"/>
    <cellStyle name="Followed Hyperlink" xfId="3131" builtinId="9" hidden="1"/>
    <cellStyle name="Followed Hyperlink" xfId="3133" builtinId="9" hidden="1"/>
    <cellStyle name="Followed Hyperlink" xfId="3135" builtinId="9" hidden="1"/>
    <cellStyle name="Followed Hyperlink" xfId="3137" builtinId="9" hidden="1"/>
    <cellStyle name="Followed Hyperlink" xfId="3139" builtinId="9" hidden="1"/>
    <cellStyle name="Followed Hyperlink" xfId="3141" builtinId="9" hidden="1"/>
    <cellStyle name="Followed Hyperlink" xfId="3143" builtinId="9" hidden="1"/>
    <cellStyle name="Followed Hyperlink" xfId="3145" builtinId="9" hidden="1"/>
    <cellStyle name="Followed Hyperlink" xfId="3147" builtinId="9" hidden="1"/>
    <cellStyle name="Followed Hyperlink" xfId="3149" builtinId="9" hidden="1"/>
    <cellStyle name="Followed Hyperlink" xfId="3151" builtinId="9" hidden="1"/>
    <cellStyle name="Followed Hyperlink" xfId="3153" builtinId="9" hidden="1"/>
    <cellStyle name="Followed Hyperlink" xfId="3155" builtinId="9" hidden="1"/>
    <cellStyle name="Followed Hyperlink" xfId="3157" builtinId="9" hidden="1"/>
    <cellStyle name="Followed Hyperlink" xfId="3159" builtinId="9" hidden="1"/>
    <cellStyle name="Followed Hyperlink" xfId="3161" builtinId="9" hidden="1"/>
    <cellStyle name="Followed Hyperlink" xfId="3163" builtinId="9" hidden="1"/>
    <cellStyle name="Followed Hyperlink" xfId="3165" builtinId="9" hidden="1"/>
    <cellStyle name="Followed Hyperlink" xfId="3167" builtinId="9" hidden="1"/>
    <cellStyle name="Followed Hyperlink" xfId="3169" builtinId="9" hidden="1"/>
    <cellStyle name="Followed Hyperlink" xfId="3171" builtinId="9" hidden="1"/>
    <cellStyle name="Followed Hyperlink" xfId="3173" builtinId="9" hidden="1"/>
    <cellStyle name="Followed Hyperlink" xfId="3175" builtinId="9" hidden="1"/>
    <cellStyle name="Followed Hyperlink" xfId="3177" builtinId="9" hidden="1"/>
    <cellStyle name="Followed Hyperlink" xfId="3179" builtinId="9" hidden="1"/>
    <cellStyle name="Followed Hyperlink" xfId="3181" builtinId="9" hidden="1"/>
    <cellStyle name="Followed Hyperlink" xfId="3183" builtinId="9" hidden="1"/>
    <cellStyle name="Followed Hyperlink" xfId="3185" builtinId="9" hidden="1"/>
    <cellStyle name="Followed Hyperlink" xfId="3187" builtinId="9" hidden="1"/>
    <cellStyle name="Followed Hyperlink" xfId="3189" builtinId="9" hidden="1"/>
    <cellStyle name="Followed Hyperlink" xfId="3191" builtinId="9" hidden="1"/>
    <cellStyle name="Followed Hyperlink" xfId="3193" builtinId="9" hidden="1"/>
    <cellStyle name="Followed Hyperlink" xfId="3195" builtinId="9" hidden="1"/>
    <cellStyle name="Followed Hyperlink" xfId="3197" builtinId="9" hidden="1"/>
    <cellStyle name="Followed Hyperlink" xfId="3199" builtinId="9" hidden="1"/>
    <cellStyle name="Followed Hyperlink" xfId="3201" builtinId="9" hidden="1"/>
    <cellStyle name="Followed Hyperlink" xfId="3203" builtinId="9" hidden="1"/>
    <cellStyle name="Followed Hyperlink" xfId="3205" builtinId="9" hidden="1"/>
    <cellStyle name="Followed Hyperlink" xfId="3207" builtinId="9" hidden="1"/>
    <cellStyle name="Followed Hyperlink" xfId="3209" builtinId="9" hidden="1"/>
    <cellStyle name="Followed Hyperlink" xfId="3211" builtinId="9" hidden="1"/>
    <cellStyle name="Followed Hyperlink" xfId="3213" builtinId="9" hidden="1"/>
    <cellStyle name="Followed Hyperlink" xfId="3215" builtinId="9" hidden="1"/>
    <cellStyle name="Followed Hyperlink" xfId="3217" builtinId="9" hidden="1"/>
    <cellStyle name="Followed Hyperlink" xfId="3219" builtinId="9" hidden="1"/>
    <cellStyle name="Followed Hyperlink" xfId="3221" builtinId="9" hidden="1"/>
    <cellStyle name="Followed Hyperlink" xfId="3223" builtinId="9" hidden="1"/>
    <cellStyle name="Followed Hyperlink" xfId="3225" builtinId="9" hidden="1"/>
    <cellStyle name="Followed Hyperlink" xfId="3227" builtinId="9" hidden="1"/>
    <cellStyle name="Followed Hyperlink" xfId="3229" builtinId="9" hidden="1"/>
    <cellStyle name="Followed Hyperlink" xfId="3231" builtinId="9" hidden="1"/>
    <cellStyle name="Followed Hyperlink" xfId="3233" builtinId="9" hidden="1"/>
    <cellStyle name="Followed Hyperlink" xfId="3235" builtinId="9" hidden="1"/>
    <cellStyle name="Followed Hyperlink" xfId="3237" builtinId="9" hidden="1"/>
    <cellStyle name="Followed Hyperlink" xfId="3239" builtinId="9" hidden="1"/>
    <cellStyle name="Followed Hyperlink" xfId="3241" builtinId="9" hidden="1"/>
    <cellStyle name="Followed Hyperlink" xfId="3243" builtinId="9" hidden="1"/>
    <cellStyle name="Followed Hyperlink" xfId="3245" builtinId="9" hidden="1"/>
    <cellStyle name="Followed Hyperlink" xfId="3247" builtinId="9" hidden="1"/>
    <cellStyle name="Followed Hyperlink" xfId="3249" builtinId="9" hidden="1"/>
    <cellStyle name="Followed Hyperlink" xfId="3251" builtinId="9" hidden="1"/>
    <cellStyle name="Followed Hyperlink" xfId="3253" builtinId="9" hidden="1"/>
    <cellStyle name="Followed Hyperlink" xfId="3255" builtinId="9" hidden="1"/>
    <cellStyle name="Followed Hyperlink" xfId="3257" builtinId="9" hidden="1"/>
    <cellStyle name="Followed Hyperlink" xfId="3259" builtinId="9" hidden="1"/>
    <cellStyle name="Followed Hyperlink" xfId="3261" builtinId="9" hidden="1"/>
    <cellStyle name="Followed Hyperlink" xfId="3263" builtinId="9" hidden="1"/>
    <cellStyle name="Followed Hyperlink" xfId="3265" builtinId="9" hidden="1"/>
    <cellStyle name="Followed Hyperlink" xfId="3267" builtinId="9" hidden="1"/>
    <cellStyle name="Followed Hyperlink" xfId="3269" builtinId="9" hidden="1"/>
    <cellStyle name="Followed Hyperlink" xfId="3271" builtinId="9" hidden="1"/>
    <cellStyle name="Followed Hyperlink" xfId="3273" builtinId="9" hidden="1"/>
    <cellStyle name="Followed Hyperlink" xfId="3275" builtinId="9" hidden="1"/>
    <cellStyle name="Followed Hyperlink" xfId="3277" builtinId="9" hidden="1"/>
    <cellStyle name="Followed Hyperlink" xfId="3279" builtinId="9" hidden="1"/>
    <cellStyle name="Followed Hyperlink" xfId="3281" builtinId="9" hidden="1"/>
    <cellStyle name="Followed Hyperlink" xfId="3283" builtinId="9" hidden="1"/>
    <cellStyle name="Followed Hyperlink" xfId="3285" builtinId="9" hidden="1"/>
    <cellStyle name="Followed Hyperlink" xfId="3287" builtinId="9" hidden="1"/>
    <cellStyle name="Followed Hyperlink" xfId="3289" builtinId="9" hidden="1"/>
    <cellStyle name="Followed Hyperlink" xfId="3291" builtinId="9" hidden="1"/>
    <cellStyle name="Followed Hyperlink" xfId="3293" builtinId="9" hidden="1"/>
    <cellStyle name="Followed Hyperlink" xfId="3295" builtinId="9" hidden="1"/>
    <cellStyle name="Followed Hyperlink" xfId="3297" builtinId="9" hidden="1"/>
    <cellStyle name="Followed Hyperlink" xfId="3299" builtinId="9" hidden="1"/>
    <cellStyle name="Followed Hyperlink" xfId="3301" builtinId="9" hidden="1"/>
    <cellStyle name="Followed Hyperlink" xfId="3303" builtinId="9" hidden="1"/>
    <cellStyle name="Followed Hyperlink" xfId="3305" builtinId="9" hidden="1"/>
    <cellStyle name="Followed Hyperlink" xfId="3307" builtinId="9" hidden="1"/>
    <cellStyle name="Followed Hyperlink" xfId="3309" builtinId="9" hidden="1"/>
    <cellStyle name="Followed Hyperlink" xfId="3311" builtinId="9" hidden="1"/>
    <cellStyle name="Followed Hyperlink" xfId="3313" builtinId="9" hidden="1"/>
    <cellStyle name="Followed Hyperlink" xfId="3315" builtinId="9" hidden="1"/>
    <cellStyle name="Followed Hyperlink" xfId="3317" builtinId="9" hidden="1"/>
    <cellStyle name="Followed Hyperlink" xfId="3319" builtinId="9" hidden="1"/>
    <cellStyle name="Followed Hyperlink" xfId="3321" builtinId="9" hidden="1"/>
    <cellStyle name="Followed Hyperlink" xfId="3323" builtinId="9" hidden="1"/>
    <cellStyle name="Followed Hyperlink" xfId="3325" builtinId="9" hidden="1"/>
    <cellStyle name="Followed Hyperlink" xfId="3327" builtinId="9" hidden="1"/>
    <cellStyle name="Followed Hyperlink" xfId="3329" builtinId="9" hidden="1"/>
    <cellStyle name="Followed Hyperlink" xfId="3331" builtinId="9" hidden="1"/>
    <cellStyle name="Followed Hyperlink" xfId="3333" builtinId="9" hidden="1"/>
    <cellStyle name="Followed Hyperlink" xfId="3335" builtinId="9" hidden="1"/>
    <cellStyle name="Followed Hyperlink" xfId="3337" builtinId="9" hidden="1"/>
    <cellStyle name="Followed Hyperlink" xfId="3339" builtinId="9" hidden="1"/>
    <cellStyle name="Followed Hyperlink" xfId="3341" builtinId="9" hidden="1"/>
    <cellStyle name="Followed Hyperlink" xfId="3343" builtinId="9" hidden="1"/>
    <cellStyle name="Followed Hyperlink" xfId="3345" builtinId="9" hidden="1"/>
    <cellStyle name="Followed Hyperlink" xfId="3347" builtinId="9" hidden="1"/>
    <cellStyle name="Followed Hyperlink" xfId="3349" builtinId="9" hidden="1"/>
    <cellStyle name="Followed Hyperlink" xfId="3351" builtinId="9" hidden="1"/>
    <cellStyle name="Followed Hyperlink" xfId="3353" builtinId="9" hidden="1"/>
    <cellStyle name="Followed Hyperlink" xfId="3355" builtinId="9" hidden="1"/>
    <cellStyle name="Followed Hyperlink" xfId="3357" builtinId="9" hidden="1"/>
    <cellStyle name="Followed Hyperlink" xfId="3359" builtinId="9" hidden="1"/>
    <cellStyle name="Followed Hyperlink" xfId="3361" builtinId="9" hidden="1"/>
    <cellStyle name="Followed Hyperlink" xfId="3363" builtinId="9" hidden="1"/>
    <cellStyle name="Followed Hyperlink" xfId="3365" builtinId="9" hidden="1"/>
    <cellStyle name="Followed Hyperlink" xfId="3367" builtinId="9" hidden="1"/>
    <cellStyle name="Followed Hyperlink" xfId="3369" builtinId="9" hidden="1"/>
    <cellStyle name="Followed Hyperlink" xfId="3371" builtinId="9" hidden="1"/>
    <cellStyle name="Followed Hyperlink" xfId="3373" builtinId="9" hidden="1"/>
    <cellStyle name="Followed Hyperlink" xfId="3375" builtinId="9" hidden="1"/>
    <cellStyle name="Followed Hyperlink" xfId="3377" builtinId="9" hidden="1"/>
    <cellStyle name="Followed Hyperlink" xfId="3379" builtinId="9" hidden="1"/>
    <cellStyle name="Followed Hyperlink" xfId="3381" builtinId="9" hidden="1"/>
    <cellStyle name="Followed Hyperlink" xfId="3383" builtinId="9" hidden="1"/>
    <cellStyle name="Followed Hyperlink" xfId="3385" builtinId="9" hidden="1"/>
    <cellStyle name="Followed Hyperlink" xfId="3387" builtinId="9" hidden="1"/>
    <cellStyle name="Followed Hyperlink" xfId="3389" builtinId="9" hidden="1"/>
    <cellStyle name="Followed Hyperlink" xfId="3391" builtinId="9" hidden="1"/>
    <cellStyle name="Followed Hyperlink" xfId="3393" builtinId="9" hidden="1"/>
    <cellStyle name="Followed Hyperlink" xfId="3395" builtinId="9" hidden="1"/>
    <cellStyle name="Followed Hyperlink" xfId="3397" builtinId="9" hidden="1"/>
    <cellStyle name="Followed Hyperlink" xfId="3399" builtinId="9" hidden="1"/>
    <cellStyle name="Followed Hyperlink" xfId="3401" builtinId="9" hidden="1"/>
    <cellStyle name="Followed Hyperlink" xfId="3403" builtinId="9" hidden="1"/>
    <cellStyle name="Followed Hyperlink" xfId="3405" builtinId="9" hidden="1"/>
    <cellStyle name="Followed Hyperlink" xfId="3407" builtinId="9" hidden="1"/>
    <cellStyle name="Followed Hyperlink" xfId="3409" builtinId="9" hidden="1"/>
    <cellStyle name="Followed Hyperlink" xfId="3411" builtinId="9" hidden="1"/>
    <cellStyle name="Followed Hyperlink" xfId="3413" builtinId="9" hidden="1"/>
    <cellStyle name="Followed Hyperlink" xfId="3415" builtinId="9" hidden="1"/>
    <cellStyle name="Followed Hyperlink" xfId="3417" builtinId="9" hidden="1"/>
    <cellStyle name="Followed Hyperlink" xfId="3419" builtinId="9" hidden="1"/>
    <cellStyle name="Followed Hyperlink" xfId="3421" builtinId="9" hidden="1"/>
    <cellStyle name="Followed Hyperlink" xfId="3423" builtinId="9" hidden="1"/>
    <cellStyle name="Followed Hyperlink" xfId="3425" builtinId="9" hidden="1"/>
    <cellStyle name="Followed Hyperlink" xfId="3427" builtinId="9" hidden="1"/>
    <cellStyle name="Followed Hyperlink" xfId="3429" builtinId="9" hidden="1"/>
    <cellStyle name="Followed Hyperlink" xfId="3431" builtinId="9" hidden="1"/>
    <cellStyle name="Followed Hyperlink" xfId="3433" builtinId="9" hidden="1"/>
    <cellStyle name="Followed Hyperlink" xfId="3435" builtinId="9" hidden="1"/>
    <cellStyle name="Followed Hyperlink" xfId="3437" builtinId="9" hidden="1"/>
    <cellStyle name="Followed Hyperlink" xfId="3439" builtinId="9" hidden="1"/>
    <cellStyle name="Followed Hyperlink" xfId="3441" builtinId="9" hidden="1"/>
    <cellStyle name="Followed Hyperlink" xfId="3443" builtinId="9" hidden="1"/>
    <cellStyle name="Followed Hyperlink" xfId="3445" builtinId="9" hidden="1"/>
    <cellStyle name="Followed Hyperlink" xfId="3447" builtinId="9" hidden="1"/>
    <cellStyle name="Followed Hyperlink" xfId="3449" builtinId="9" hidden="1"/>
    <cellStyle name="Followed Hyperlink" xfId="3451" builtinId="9" hidden="1"/>
    <cellStyle name="Followed Hyperlink" xfId="3453" builtinId="9" hidden="1"/>
    <cellStyle name="Followed Hyperlink" xfId="3455" builtinId="9" hidden="1"/>
    <cellStyle name="Followed Hyperlink" xfId="3457" builtinId="9" hidden="1"/>
    <cellStyle name="Followed Hyperlink" xfId="3459" builtinId="9" hidden="1"/>
    <cellStyle name="Followed Hyperlink" xfId="3461" builtinId="9" hidden="1"/>
    <cellStyle name="Followed Hyperlink" xfId="3463" builtinId="9" hidden="1"/>
    <cellStyle name="Followed Hyperlink" xfId="3465" builtinId="9" hidden="1"/>
    <cellStyle name="Followed Hyperlink" xfId="3467" builtinId="9" hidden="1"/>
    <cellStyle name="Followed Hyperlink" xfId="3469" builtinId="9" hidden="1"/>
    <cellStyle name="Followed Hyperlink" xfId="3471" builtinId="9" hidden="1"/>
    <cellStyle name="Followed Hyperlink" xfId="3473" builtinId="9" hidden="1"/>
    <cellStyle name="Followed Hyperlink" xfId="3475" builtinId="9" hidden="1"/>
    <cellStyle name="Followed Hyperlink" xfId="3477" builtinId="9" hidden="1"/>
    <cellStyle name="Followed Hyperlink" xfId="3479" builtinId="9" hidden="1"/>
    <cellStyle name="Followed Hyperlink" xfId="3481" builtinId="9" hidden="1"/>
    <cellStyle name="Followed Hyperlink" xfId="3483" builtinId="9" hidden="1"/>
    <cellStyle name="Followed Hyperlink" xfId="3485" builtinId="9" hidden="1"/>
    <cellStyle name="Followed Hyperlink" xfId="3487" builtinId="9" hidden="1"/>
    <cellStyle name="Followed Hyperlink" xfId="3489" builtinId="9" hidden="1"/>
    <cellStyle name="Followed Hyperlink" xfId="3491" builtinId="9" hidden="1"/>
    <cellStyle name="Followed Hyperlink" xfId="3493" builtinId="9" hidden="1"/>
    <cellStyle name="Followed Hyperlink" xfId="3495" builtinId="9" hidden="1"/>
    <cellStyle name="Followed Hyperlink" xfId="3497" builtinId="9" hidden="1"/>
    <cellStyle name="Followed Hyperlink" xfId="3499" builtinId="9" hidden="1"/>
    <cellStyle name="Followed Hyperlink" xfId="3501" builtinId="9" hidden="1"/>
    <cellStyle name="Followed Hyperlink" xfId="3503" builtinId="9" hidden="1"/>
    <cellStyle name="Followed Hyperlink" xfId="3505" builtinId="9" hidden="1"/>
    <cellStyle name="Followed Hyperlink" xfId="3507" builtinId="9" hidden="1"/>
    <cellStyle name="Followed Hyperlink" xfId="3509" builtinId="9" hidden="1"/>
    <cellStyle name="Followed Hyperlink" xfId="3511" builtinId="9" hidden="1"/>
    <cellStyle name="Followed Hyperlink" xfId="3513" builtinId="9" hidden="1"/>
    <cellStyle name="Followed Hyperlink" xfId="3515" builtinId="9" hidden="1"/>
    <cellStyle name="Followed Hyperlink" xfId="3517" builtinId="9" hidden="1"/>
    <cellStyle name="Followed Hyperlink" xfId="3519" builtinId="9" hidden="1"/>
    <cellStyle name="Followed Hyperlink" xfId="3521" builtinId="9" hidden="1"/>
    <cellStyle name="Followed Hyperlink" xfId="3523" builtinId="9" hidden="1"/>
    <cellStyle name="Followed Hyperlink" xfId="3525" builtinId="9" hidden="1"/>
    <cellStyle name="Followed Hyperlink" xfId="3527" builtinId="9" hidden="1"/>
    <cellStyle name="Followed Hyperlink" xfId="3529" builtinId="9" hidden="1"/>
    <cellStyle name="Followed Hyperlink" xfId="3531" builtinId="9" hidden="1"/>
    <cellStyle name="Followed Hyperlink" xfId="3533" builtinId="9" hidden="1"/>
    <cellStyle name="Followed Hyperlink" xfId="3535" builtinId="9" hidden="1"/>
    <cellStyle name="Followed Hyperlink" xfId="3537" builtinId="9" hidden="1"/>
    <cellStyle name="Followed Hyperlink" xfId="3539" builtinId="9" hidden="1"/>
    <cellStyle name="Followed Hyperlink" xfId="3541" builtinId="9" hidden="1"/>
    <cellStyle name="Followed Hyperlink" xfId="3543" builtinId="9" hidden="1"/>
    <cellStyle name="Followed Hyperlink" xfId="3545" builtinId="9" hidden="1"/>
    <cellStyle name="Followed Hyperlink" xfId="3547" builtinId="9" hidden="1"/>
    <cellStyle name="Followed Hyperlink" xfId="3549" builtinId="9" hidden="1"/>
    <cellStyle name="Followed Hyperlink" xfId="3551" builtinId="9" hidden="1"/>
    <cellStyle name="Followed Hyperlink" xfId="3553" builtinId="9" hidden="1"/>
    <cellStyle name="Followed Hyperlink" xfId="3555" builtinId="9" hidden="1"/>
    <cellStyle name="Followed Hyperlink" xfId="3557" builtinId="9" hidden="1"/>
    <cellStyle name="Followed Hyperlink" xfId="3559" builtinId="9" hidden="1"/>
    <cellStyle name="Followed Hyperlink" xfId="3561" builtinId="9" hidden="1"/>
    <cellStyle name="Followed Hyperlink" xfId="3563" builtinId="9" hidden="1"/>
    <cellStyle name="Followed Hyperlink" xfId="3565" builtinId="9" hidden="1"/>
    <cellStyle name="Followed Hyperlink" xfId="3567" builtinId="9" hidden="1"/>
    <cellStyle name="Followed Hyperlink" xfId="3569" builtinId="9" hidden="1"/>
    <cellStyle name="Followed Hyperlink" xfId="3571" builtinId="9" hidden="1"/>
    <cellStyle name="Followed Hyperlink" xfId="3573" builtinId="9" hidden="1"/>
    <cellStyle name="Followed Hyperlink" xfId="3575" builtinId="9" hidden="1"/>
    <cellStyle name="Followed Hyperlink" xfId="3577" builtinId="9" hidden="1"/>
    <cellStyle name="Followed Hyperlink" xfId="3579" builtinId="9" hidden="1"/>
    <cellStyle name="Followed Hyperlink" xfId="3581" builtinId="9" hidden="1"/>
    <cellStyle name="Followed Hyperlink" xfId="3583" builtinId="9" hidden="1"/>
    <cellStyle name="Followed Hyperlink" xfId="3585" builtinId="9" hidden="1"/>
    <cellStyle name="Followed Hyperlink" xfId="3587" builtinId="9" hidden="1"/>
    <cellStyle name="Followed Hyperlink" xfId="3589" builtinId="9" hidden="1"/>
    <cellStyle name="Followed Hyperlink" xfId="3591" builtinId="9" hidden="1"/>
    <cellStyle name="Followed Hyperlink" xfId="3593" builtinId="9" hidden="1"/>
    <cellStyle name="Followed Hyperlink" xfId="3595" builtinId="9" hidden="1"/>
    <cellStyle name="Followed Hyperlink" xfId="3597" builtinId="9" hidden="1"/>
    <cellStyle name="Followed Hyperlink" xfId="3599" builtinId="9" hidden="1"/>
    <cellStyle name="Followed Hyperlink" xfId="3601" builtinId="9" hidden="1"/>
    <cellStyle name="Followed Hyperlink" xfId="3603" builtinId="9" hidden="1"/>
    <cellStyle name="Followed Hyperlink" xfId="3605" builtinId="9" hidden="1"/>
    <cellStyle name="Followed Hyperlink" xfId="3607" builtinId="9" hidden="1"/>
    <cellStyle name="Followed Hyperlink" xfId="3609" builtinId="9" hidden="1"/>
    <cellStyle name="Followed Hyperlink" xfId="3611" builtinId="9" hidden="1"/>
    <cellStyle name="Followed Hyperlink" xfId="3613" builtinId="9" hidden="1"/>
    <cellStyle name="Followed Hyperlink" xfId="3615" builtinId="9" hidden="1"/>
    <cellStyle name="Followed Hyperlink" xfId="3617" builtinId="9" hidden="1"/>
    <cellStyle name="Followed Hyperlink" xfId="3619" builtinId="9" hidden="1"/>
    <cellStyle name="Followed Hyperlink" xfId="3621" builtinId="9" hidden="1"/>
    <cellStyle name="Followed Hyperlink" xfId="3623" builtinId="9" hidden="1"/>
    <cellStyle name="Followed Hyperlink" xfId="3625" builtinId="9" hidden="1"/>
    <cellStyle name="Followed Hyperlink" xfId="3627" builtinId="9" hidden="1"/>
    <cellStyle name="Followed Hyperlink" xfId="3629" builtinId="9" hidden="1"/>
    <cellStyle name="Followed Hyperlink" xfId="3631" builtinId="9" hidden="1"/>
    <cellStyle name="Followed Hyperlink" xfId="3633" builtinId="9" hidden="1"/>
    <cellStyle name="Followed Hyperlink" xfId="3635" builtinId="9" hidden="1"/>
    <cellStyle name="Followed Hyperlink" xfId="3637" builtinId="9" hidden="1"/>
    <cellStyle name="Followed Hyperlink" xfId="3639" builtinId="9" hidden="1"/>
    <cellStyle name="Followed Hyperlink" xfId="3641" builtinId="9" hidden="1"/>
    <cellStyle name="Followed Hyperlink" xfId="3643" builtinId="9" hidden="1"/>
    <cellStyle name="Followed Hyperlink" xfId="3645" builtinId="9" hidden="1"/>
    <cellStyle name="Followed Hyperlink" xfId="3647" builtinId="9" hidden="1"/>
    <cellStyle name="Followed Hyperlink" xfId="3649" builtinId="9" hidden="1"/>
    <cellStyle name="Followed Hyperlink" xfId="3651" builtinId="9" hidden="1"/>
    <cellStyle name="Followed Hyperlink" xfId="3653" builtinId="9" hidden="1"/>
    <cellStyle name="Followed Hyperlink" xfId="3655" builtinId="9" hidden="1"/>
    <cellStyle name="Followed Hyperlink" xfId="3657" builtinId="9" hidden="1"/>
    <cellStyle name="Followed Hyperlink" xfId="3659" builtinId="9" hidden="1"/>
    <cellStyle name="Followed Hyperlink" xfId="3661" builtinId="9" hidden="1"/>
    <cellStyle name="Followed Hyperlink" xfId="3663" builtinId="9" hidden="1"/>
    <cellStyle name="Followed Hyperlink" xfId="3665" builtinId="9" hidden="1"/>
    <cellStyle name="Followed Hyperlink" xfId="3667" builtinId="9" hidden="1"/>
    <cellStyle name="Followed Hyperlink" xfId="3669" builtinId="9" hidden="1"/>
    <cellStyle name="Followed Hyperlink" xfId="3671" builtinId="9" hidden="1"/>
    <cellStyle name="Followed Hyperlink" xfId="3673" builtinId="9" hidden="1"/>
    <cellStyle name="Followed Hyperlink" xfId="3675" builtinId="9" hidden="1"/>
    <cellStyle name="Followed Hyperlink" xfId="3677" builtinId="9" hidden="1"/>
    <cellStyle name="Followed Hyperlink" xfId="3679" builtinId="9" hidden="1"/>
    <cellStyle name="Followed Hyperlink" xfId="3681" builtinId="9" hidden="1"/>
    <cellStyle name="Followed Hyperlink" xfId="3683" builtinId="9" hidden="1"/>
    <cellStyle name="Followed Hyperlink" xfId="3685" builtinId="9" hidden="1"/>
    <cellStyle name="Followed Hyperlink" xfId="3687" builtinId="9" hidden="1"/>
    <cellStyle name="Followed Hyperlink" xfId="3689" builtinId="9" hidden="1"/>
    <cellStyle name="Followed Hyperlink" xfId="3691" builtinId="9" hidden="1"/>
    <cellStyle name="Followed Hyperlink" xfId="3693" builtinId="9" hidden="1"/>
    <cellStyle name="Followed Hyperlink" xfId="3695" builtinId="9" hidden="1"/>
    <cellStyle name="Followed Hyperlink" xfId="3697" builtinId="9" hidden="1"/>
    <cellStyle name="Followed Hyperlink" xfId="3699" builtinId="9" hidden="1"/>
    <cellStyle name="Followed Hyperlink" xfId="3701" builtinId="9" hidden="1"/>
    <cellStyle name="Followed Hyperlink" xfId="3703" builtinId="9" hidden="1"/>
    <cellStyle name="Followed Hyperlink" xfId="3705" builtinId="9" hidden="1"/>
    <cellStyle name="Followed Hyperlink" xfId="3707" builtinId="9" hidden="1"/>
    <cellStyle name="Followed Hyperlink" xfId="3709" builtinId="9" hidden="1"/>
    <cellStyle name="Followed Hyperlink" xfId="3711" builtinId="9" hidden="1"/>
    <cellStyle name="Followed Hyperlink" xfId="3713" builtinId="9" hidden="1"/>
    <cellStyle name="Followed Hyperlink" xfId="3715" builtinId="9" hidden="1"/>
    <cellStyle name="Followed Hyperlink" xfId="3717" builtinId="9" hidden="1"/>
    <cellStyle name="Followed Hyperlink" xfId="3719" builtinId="9" hidden="1"/>
    <cellStyle name="Followed Hyperlink" xfId="3721" builtinId="9" hidden="1"/>
    <cellStyle name="Followed Hyperlink" xfId="3723" builtinId="9" hidden="1"/>
    <cellStyle name="Followed Hyperlink" xfId="3725" builtinId="9" hidden="1"/>
    <cellStyle name="Followed Hyperlink" xfId="3727" builtinId="9" hidden="1"/>
    <cellStyle name="Followed Hyperlink" xfId="3729" builtinId="9" hidden="1"/>
    <cellStyle name="Followed Hyperlink" xfId="3731" builtinId="9" hidden="1"/>
    <cellStyle name="Followed Hyperlink" xfId="3733" builtinId="9" hidden="1"/>
    <cellStyle name="Followed Hyperlink" xfId="3735" builtinId="9" hidden="1"/>
    <cellStyle name="Followed Hyperlink" xfId="3737" builtinId="9" hidden="1"/>
    <cellStyle name="Followed Hyperlink" xfId="3739" builtinId="9" hidden="1"/>
    <cellStyle name="Followed Hyperlink" xfId="3741" builtinId="9" hidden="1"/>
    <cellStyle name="Followed Hyperlink" xfId="3743" builtinId="9" hidden="1"/>
    <cellStyle name="Followed Hyperlink" xfId="3745" builtinId="9" hidden="1"/>
    <cellStyle name="Followed Hyperlink" xfId="3747" builtinId="9" hidden="1"/>
    <cellStyle name="Followed Hyperlink" xfId="3749" builtinId="9" hidden="1"/>
    <cellStyle name="Followed Hyperlink" xfId="3751" builtinId="9" hidden="1"/>
    <cellStyle name="Followed Hyperlink" xfId="3753" builtinId="9" hidden="1"/>
    <cellStyle name="Followed Hyperlink" xfId="3755" builtinId="9" hidden="1"/>
    <cellStyle name="Followed Hyperlink" xfId="3757" builtinId="9" hidden="1"/>
    <cellStyle name="Followed Hyperlink" xfId="3759" builtinId="9" hidden="1"/>
    <cellStyle name="Followed Hyperlink" xfId="3761" builtinId="9" hidden="1"/>
    <cellStyle name="Followed Hyperlink" xfId="3763" builtinId="9" hidden="1"/>
    <cellStyle name="Followed Hyperlink" xfId="3765" builtinId="9" hidden="1"/>
    <cellStyle name="Followed Hyperlink" xfId="3767" builtinId="9" hidden="1"/>
    <cellStyle name="Followed Hyperlink" xfId="3769" builtinId="9" hidden="1"/>
    <cellStyle name="Followed Hyperlink" xfId="3771" builtinId="9" hidden="1"/>
    <cellStyle name="Followed Hyperlink" xfId="3773" builtinId="9" hidden="1"/>
    <cellStyle name="Followed Hyperlink" xfId="3775" builtinId="9" hidden="1"/>
    <cellStyle name="Followed Hyperlink" xfId="3777" builtinId="9" hidden="1"/>
    <cellStyle name="Followed Hyperlink" xfId="3779" builtinId="9" hidden="1"/>
    <cellStyle name="Followed Hyperlink" xfId="3781" builtinId="9" hidden="1"/>
    <cellStyle name="Followed Hyperlink" xfId="3783" builtinId="9" hidden="1"/>
    <cellStyle name="Followed Hyperlink" xfId="3785" builtinId="9" hidden="1"/>
    <cellStyle name="Followed Hyperlink" xfId="3787" builtinId="9" hidden="1"/>
    <cellStyle name="Followed Hyperlink" xfId="3789" builtinId="9" hidden="1"/>
    <cellStyle name="Followed Hyperlink" xfId="3791" builtinId="9" hidden="1"/>
    <cellStyle name="Followed Hyperlink" xfId="3793" builtinId="9" hidden="1"/>
    <cellStyle name="Followed Hyperlink" xfId="3795" builtinId="9" hidden="1"/>
    <cellStyle name="Followed Hyperlink" xfId="3797" builtinId="9" hidden="1"/>
    <cellStyle name="Followed Hyperlink" xfId="3799" builtinId="9" hidden="1"/>
    <cellStyle name="Followed Hyperlink" xfId="3801" builtinId="9" hidden="1"/>
    <cellStyle name="Followed Hyperlink" xfId="3803" builtinId="9" hidden="1"/>
    <cellStyle name="Followed Hyperlink" xfId="3805" builtinId="9" hidden="1"/>
    <cellStyle name="Followed Hyperlink" xfId="3807" builtinId="9" hidden="1"/>
    <cellStyle name="Followed Hyperlink" xfId="3809" builtinId="9" hidden="1"/>
    <cellStyle name="Followed Hyperlink" xfId="3811" builtinId="9" hidden="1"/>
    <cellStyle name="Followed Hyperlink" xfId="3813" builtinId="9" hidden="1"/>
    <cellStyle name="Followed Hyperlink" xfId="3815" builtinId="9" hidden="1"/>
    <cellStyle name="Followed Hyperlink" xfId="3817" builtinId="9" hidden="1"/>
    <cellStyle name="Followed Hyperlink" xfId="3819" builtinId="9" hidden="1"/>
    <cellStyle name="Followed Hyperlink" xfId="3821" builtinId="9" hidden="1"/>
    <cellStyle name="Followed Hyperlink" xfId="3823" builtinId="9" hidden="1"/>
    <cellStyle name="Followed Hyperlink" xfId="3825" builtinId="9" hidden="1"/>
    <cellStyle name="Followed Hyperlink" xfId="3827" builtinId="9" hidden="1"/>
    <cellStyle name="Followed Hyperlink" xfId="3829" builtinId="9" hidden="1"/>
    <cellStyle name="Followed Hyperlink" xfId="3831" builtinId="9" hidden="1"/>
    <cellStyle name="Followed Hyperlink" xfId="3833" builtinId="9" hidden="1"/>
    <cellStyle name="Followed Hyperlink" xfId="3835" builtinId="9" hidden="1"/>
    <cellStyle name="Followed Hyperlink" xfId="3837" builtinId="9" hidden="1"/>
    <cellStyle name="Followed Hyperlink" xfId="3839" builtinId="9" hidden="1"/>
    <cellStyle name="Followed Hyperlink" xfId="3841" builtinId="9" hidden="1"/>
    <cellStyle name="Followed Hyperlink" xfId="3843" builtinId="9" hidden="1"/>
    <cellStyle name="Followed Hyperlink" xfId="3845" builtinId="9" hidden="1"/>
    <cellStyle name="Followed Hyperlink" xfId="3847" builtinId="9" hidden="1"/>
    <cellStyle name="Followed Hyperlink" xfId="3849" builtinId="9" hidden="1"/>
    <cellStyle name="Followed Hyperlink" xfId="3851" builtinId="9" hidden="1"/>
    <cellStyle name="Followed Hyperlink" xfId="3853" builtinId="9" hidden="1"/>
    <cellStyle name="Followed Hyperlink" xfId="3855" builtinId="9" hidden="1"/>
    <cellStyle name="Followed Hyperlink" xfId="3857" builtinId="9" hidden="1"/>
    <cellStyle name="Followed Hyperlink" xfId="3859" builtinId="9" hidden="1"/>
    <cellStyle name="Followed Hyperlink" xfId="3861" builtinId="9" hidden="1"/>
    <cellStyle name="Followed Hyperlink" xfId="3863" builtinId="9" hidden="1"/>
    <cellStyle name="Followed Hyperlink" xfId="3865" builtinId="9" hidden="1"/>
    <cellStyle name="Followed Hyperlink" xfId="3867" builtinId="9" hidden="1"/>
    <cellStyle name="Followed Hyperlink" xfId="3869" builtinId="9" hidden="1"/>
    <cellStyle name="Followed Hyperlink" xfId="3871" builtinId="9" hidden="1"/>
    <cellStyle name="Followed Hyperlink" xfId="3873" builtinId="9" hidden="1"/>
    <cellStyle name="Followed Hyperlink" xfId="3875" builtinId="9" hidden="1"/>
    <cellStyle name="Followed Hyperlink" xfId="3877" builtinId="9" hidden="1"/>
    <cellStyle name="Followed Hyperlink" xfId="387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Hyperlink" xfId="2506" builtinId="8" hidden="1"/>
    <cellStyle name="Hyperlink" xfId="2508" builtinId="8" hidden="1"/>
    <cellStyle name="Hyperlink" xfId="2510" builtinId="8" hidden="1"/>
    <cellStyle name="Hyperlink" xfId="2512" builtinId="8" hidden="1"/>
    <cellStyle name="Hyperlink" xfId="2514" builtinId="8" hidden="1"/>
    <cellStyle name="Hyperlink" xfId="2516" builtinId="8" hidden="1"/>
    <cellStyle name="Hyperlink" xfId="2518" builtinId="8" hidden="1"/>
    <cellStyle name="Hyperlink" xfId="2520" builtinId="8" hidden="1"/>
    <cellStyle name="Hyperlink" xfId="2522" builtinId="8" hidden="1"/>
    <cellStyle name="Hyperlink" xfId="2524" builtinId="8" hidden="1"/>
    <cellStyle name="Hyperlink" xfId="2526" builtinId="8" hidden="1"/>
    <cellStyle name="Hyperlink" xfId="2528" builtinId="8" hidden="1"/>
    <cellStyle name="Hyperlink" xfId="2530" builtinId="8" hidden="1"/>
    <cellStyle name="Hyperlink" xfId="2532" builtinId="8" hidden="1"/>
    <cellStyle name="Hyperlink" xfId="2534" builtinId="8" hidden="1"/>
    <cellStyle name="Hyperlink" xfId="2536" builtinId="8" hidden="1"/>
    <cellStyle name="Hyperlink" xfId="2538" builtinId="8" hidden="1"/>
    <cellStyle name="Hyperlink" xfId="2540" builtinId="8" hidden="1"/>
    <cellStyle name="Hyperlink" xfId="2542" builtinId="8" hidden="1"/>
    <cellStyle name="Hyperlink" xfId="2544" builtinId="8" hidden="1"/>
    <cellStyle name="Hyperlink" xfId="2546" builtinId="8" hidden="1"/>
    <cellStyle name="Hyperlink" xfId="2548" builtinId="8" hidden="1"/>
    <cellStyle name="Hyperlink" xfId="2550" builtinId="8" hidden="1"/>
    <cellStyle name="Hyperlink" xfId="2552" builtinId="8" hidden="1"/>
    <cellStyle name="Hyperlink" xfId="2554" builtinId="8" hidden="1"/>
    <cellStyle name="Hyperlink" xfId="2556" builtinId="8" hidden="1"/>
    <cellStyle name="Hyperlink" xfId="2558" builtinId="8" hidden="1"/>
    <cellStyle name="Hyperlink" xfId="2560" builtinId="8" hidden="1"/>
    <cellStyle name="Hyperlink" xfId="2562" builtinId="8" hidden="1"/>
    <cellStyle name="Hyperlink" xfId="2564" builtinId="8" hidden="1"/>
    <cellStyle name="Hyperlink" xfId="2566" builtinId="8" hidden="1"/>
    <cellStyle name="Hyperlink" xfId="2568" builtinId="8" hidden="1"/>
    <cellStyle name="Hyperlink" xfId="2570" builtinId="8" hidden="1"/>
    <cellStyle name="Hyperlink" xfId="2572" builtinId="8" hidden="1"/>
    <cellStyle name="Hyperlink" xfId="2574" builtinId="8" hidden="1"/>
    <cellStyle name="Hyperlink" xfId="2576" builtinId="8" hidden="1"/>
    <cellStyle name="Hyperlink" xfId="2578" builtinId="8" hidden="1"/>
    <cellStyle name="Hyperlink" xfId="2580" builtinId="8" hidden="1"/>
    <cellStyle name="Hyperlink" xfId="2582" builtinId="8" hidden="1"/>
    <cellStyle name="Hyperlink" xfId="2584" builtinId="8" hidden="1"/>
    <cellStyle name="Hyperlink" xfId="2586" builtinId="8" hidden="1"/>
    <cellStyle name="Hyperlink" xfId="2588" builtinId="8" hidden="1"/>
    <cellStyle name="Hyperlink" xfId="2590" builtinId="8" hidden="1"/>
    <cellStyle name="Hyperlink" xfId="2592" builtinId="8" hidden="1"/>
    <cellStyle name="Hyperlink" xfId="2594" builtinId="8" hidden="1"/>
    <cellStyle name="Hyperlink" xfId="2596" builtinId="8" hidden="1"/>
    <cellStyle name="Hyperlink" xfId="2598" builtinId="8" hidden="1"/>
    <cellStyle name="Hyperlink" xfId="2600" builtinId="8" hidden="1"/>
    <cellStyle name="Hyperlink" xfId="2602" builtinId="8" hidden="1"/>
    <cellStyle name="Hyperlink" xfId="2604" builtinId="8" hidden="1"/>
    <cellStyle name="Hyperlink" xfId="2606" builtinId="8" hidden="1"/>
    <cellStyle name="Hyperlink" xfId="2608" builtinId="8" hidden="1"/>
    <cellStyle name="Hyperlink" xfId="2610" builtinId="8" hidden="1"/>
    <cellStyle name="Hyperlink" xfId="2612" builtinId="8" hidden="1"/>
    <cellStyle name="Hyperlink" xfId="2614" builtinId="8" hidden="1"/>
    <cellStyle name="Hyperlink" xfId="2616" builtinId="8" hidden="1"/>
    <cellStyle name="Hyperlink" xfId="2618" builtinId="8" hidden="1"/>
    <cellStyle name="Hyperlink" xfId="2620" builtinId="8" hidden="1"/>
    <cellStyle name="Hyperlink" xfId="2622" builtinId="8" hidden="1"/>
    <cellStyle name="Hyperlink" xfId="2624" builtinId="8" hidden="1"/>
    <cellStyle name="Hyperlink" xfId="2626" builtinId="8" hidden="1"/>
    <cellStyle name="Hyperlink" xfId="2628" builtinId="8" hidden="1"/>
    <cellStyle name="Hyperlink" xfId="2630" builtinId="8" hidden="1"/>
    <cellStyle name="Hyperlink" xfId="2632" builtinId="8" hidden="1"/>
    <cellStyle name="Hyperlink" xfId="2634" builtinId="8" hidden="1"/>
    <cellStyle name="Hyperlink" xfId="2636" builtinId="8" hidden="1"/>
    <cellStyle name="Hyperlink" xfId="2638" builtinId="8" hidden="1"/>
    <cellStyle name="Hyperlink" xfId="2640" builtinId="8" hidden="1"/>
    <cellStyle name="Hyperlink" xfId="2642" builtinId="8" hidden="1"/>
    <cellStyle name="Hyperlink" xfId="2644" builtinId="8" hidden="1"/>
    <cellStyle name="Hyperlink" xfId="2646" builtinId="8" hidden="1"/>
    <cellStyle name="Hyperlink" xfId="2648" builtinId="8" hidden="1"/>
    <cellStyle name="Hyperlink" xfId="2650" builtinId="8" hidden="1"/>
    <cellStyle name="Hyperlink" xfId="2652" builtinId="8" hidden="1"/>
    <cellStyle name="Hyperlink" xfId="2654" builtinId="8" hidden="1"/>
    <cellStyle name="Hyperlink" xfId="2656" builtinId="8" hidden="1"/>
    <cellStyle name="Hyperlink" xfId="2658" builtinId="8" hidden="1"/>
    <cellStyle name="Hyperlink" xfId="2660" builtinId="8" hidden="1"/>
    <cellStyle name="Hyperlink" xfId="2662" builtinId="8" hidden="1"/>
    <cellStyle name="Hyperlink" xfId="2664" builtinId="8" hidden="1"/>
    <cellStyle name="Hyperlink" xfId="2666" builtinId="8" hidden="1"/>
    <cellStyle name="Hyperlink" xfId="2668" builtinId="8" hidden="1"/>
    <cellStyle name="Hyperlink" xfId="2670" builtinId="8" hidden="1"/>
    <cellStyle name="Hyperlink" xfId="2672" builtinId="8" hidden="1"/>
    <cellStyle name="Hyperlink" xfId="2674" builtinId="8" hidden="1"/>
    <cellStyle name="Hyperlink" xfId="2676" builtinId="8" hidden="1"/>
    <cellStyle name="Hyperlink" xfId="2678" builtinId="8" hidden="1"/>
    <cellStyle name="Hyperlink" xfId="2680" builtinId="8" hidden="1"/>
    <cellStyle name="Hyperlink" xfId="2682" builtinId="8" hidden="1"/>
    <cellStyle name="Hyperlink" xfId="2684" builtinId="8" hidden="1"/>
    <cellStyle name="Hyperlink" xfId="2686" builtinId="8" hidden="1"/>
    <cellStyle name="Hyperlink" xfId="2688" builtinId="8" hidden="1"/>
    <cellStyle name="Hyperlink" xfId="2690" builtinId="8" hidden="1"/>
    <cellStyle name="Hyperlink" xfId="2692" builtinId="8" hidden="1"/>
    <cellStyle name="Hyperlink" xfId="2694" builtinId="8" hidden="1"/>
    <cellStyle name="Hyperlink" xfId="2696" builtinId="8" hidden="1"/>
    <cellStyle name="Hyperlink" xfId="2698" builtinId="8" hidden="1"/>
    <cellStyle name="Hyperlink" xfId="2700" builtinId="8" hidden="1"/>
    <cellStyle name="Hyperlink" xfId="2702" builtinId="8" hidden="1"/>
    <cellStyle name="Hyperlink" xfId="2704" builtinId="8" hidden="1"/>
    <cellStyle name="Hyperlink" xfId="2706" builtinId="8" hidden="1"/>
    <cellStyle name="Hyperlink" xfId="2708" builtinId="8" hidden="1"/>
    <cellStyle name="Hyperlink" xfId="2710" builtinId="8" hidden="1"/>
    <cellStyle name="Hyperlink" xfId="2712" builtinId="8" hidden="1"/>
    <cellStyle name="Hyperlink" xfId="2714" builtinId="8" hidden="1"/>
    <cellStyle name="Hyperlink" xfId="2716" builtinId="8" hidden="1"/>
    <cellStyle name="Hyperlink" xfId="2718" builtinId="8" hidden="1"/>
    <cellStyle name="Hyperlink" xfId="2720" builtinId="8" hidden="1"/>
    <cellStyle name="Hyperlink" xfId="2722" builtinId="8" hidden="1"/>
    <cellStyle name="Hyperlink" xfId="2724" builtinId="8" hidden="1"/>
    <cellStyle name="Hyperlink" xfId="2726" builtinId="8" hidden="1"/>
    <cellStyle name="Hyperlink" xfId="2728" builtinId="8" hidden="1"/>
    <cellStyle name="Hyperlink" xfId="2730" builtinId="8" hidden="1"/>
    <cellStyle name="Hyperlink" xfId="2732" builtinId="8" hidden="1"/>
    <cellStyle name="Hyperlink" xfId="2734" builtinId="8" hidden="1"/>
    <cellStyle name="Hyperlink" xfId="2736" builtinId="8" hidden="1"/>
    <cellStyle name="Hyperlink" xfId="2738" builtinId="8" hidden="1"/>
    <cellStyle name="Hyperlink" xfId="2740" builtinId="8" hidden="1"/>
    <cellStyle name="Hyperlink" xfId="2742" builtinId="8" hidden="1"/>
    <cellStyle name="Hyperlink" xfId="2744" builtinId="8" hidden="1"/>
    <cellStyle name="Hyperlink" xfId="2746" builtinId="8" hidden="1"/>
    <cellStyle name="Hyperlink" xfId="2748" builtinId="8" hidden="1"/>
    <cellStyle name="Hyperlink" xfId="2750" builtinId="8" hidden="1"/>
    <cellStyle name="Hyperlink" xfId="2752" builtinId="8" hidden="1"/>
    <cellStyle name="Hyperlink" xfId="2754" builtinId="8" hidden="1"/>
    <cellStyle name="Hyperlink" xfId="2756" builtinId="8" hidden="1"/>
    <cellStyle name="Hyperlink" xfId="2758" builtinId="8" hidden="1"/>
    <cellStyle name="Hyperlink" xfId="2760" builtinId="8" hidden="1"/>
    <cellStyle name="Hyperlink" xfId="2762" builtinId="8" hidden="1"/>
    <cellStyle name="Hyperlink" xfId="2764" builtinId="8" hidden="1"/>
    <cellStyle name="Hyperlink" xfId="2766" builtinId="8" hidden="1"/>
    <cellStyle name="Hyperlink" xfId="2768" builtinId="8" hidden="1"/>
    <cellStyle name="Hyperlink" xfId="2770" builtinId="8" hidden="1"/>
    <cellStyle name="Hyperlink" xfId="2772" builtinId="8" hidden="1"/>
    <cellStyle name="Hyperlink" xfId="2774" builtinId="8" hidden="1"/>
    <cellStyle name="Hyperlink" xfId="2776" builtinId="8" hidden="1"/>
    <cellStyle name="Hyperlink" xfId="2778" builtinId="8" hidden="1"/>
    <cellStyle name="Hyperlink" xfId="2780" builtinId="8" hidden="1"/>
    <cellStyle name="Hyperlink" xfId="2782" builtinId="8" hidden="1"/>
    <cellStyle name="Hyperlink" xfId="2784" builtinId="8" hidden="1"/>
    <cellStyle name="Hyperlink" xfId="2786" builtinId="8" hidden="1"/>
    <cellStyle name="Hyperlink" xfId="2788" builtinId="8" hidden="1"/>
    <cellStyle name="Hyperlink" xfId="2790" builtinId="8" hidden="1"/>
    <cellStyle name="Hyperlink" xfId="2792" builtinId="8" hidden="1"/>
    <cellStyle name="Hyperlink" xfId="2794" builtinId="8" hidden="1"/>
    <cellStyle name="Hyperlink" xfId="2796" builtinId="8" hidden="1"/>
    <cellStyle name="Hyperlink" xfId="2798" builtinId="8" hidden="1"/>
    <cellStyle name="Hyperlink" xfId="2800" builtinId="8" hidden="1"/>
    <cellStyle name="Hyperlink" xfId="2802" builtinId="8" hidden="1"/>
    <cellStyle name="Hyperlink" xfId="2804" builtinId="8" hidden="1"/>
    <cellStyle name="Hyperlink" xfId="2806" builtinId="8" hidden="1"/>
    <cellStyle name="Hyperlink" xfId="2808" builtinId="8" hidden="1"/>
    <cellStyle name="Hyperlink" xfId="2810" builtinId="8" hidden="1"/>
    <cellStyle name="Hyperlink" xfId="2812" builtinId="8" hidden="1"/>
    <cellStyle name="Hyperlink" xfId="2814" builtinId="8" hidden="1"/>
    <cellStyle name="Hyperlink" xfId="2816" builtinId="8" hidden="1"/>
    <cellStyle name="Hyperlink" xfId="2818" builtinId="8" hidden="1"/>
    <cellStyle name="Hyperlink" xfId="2820" builtinId="8" hidden="1"/>
    <cellStyle name="Hyperlink" xfId="2822" builtinId="8" hidden="1"/>
    <cellStyle name="Hyperlink" xfId="2824" builtinId="8" hidden="1"/>
    <cellStyle name="Hyperlink" xfId="2826" builtinId="8" hidden="1"/>
    <cellStyle name="Hyperlink" xfId="2828" builtinId="8" hidden="1"/>
    <cellStyle name="Hyperlink" xfId="2830" builtinId="8" hidden="1"/>
    <cellStyle name="Hyperlink" xfId="2832" builtinId="8" hidden="1"/>
    <cellStyle name="Hyperlink" xfId="2834" builtinId="8" hidden="1"/>
    <cellStyle name="Hyperlink" xfId="2836" builtinId="8" hidden="1"/>
    <cellStyle name="Hyperlink" xfId="2838" builtinId="8" hidden="1"/>
    <cellStyle name="Hyperlink" xfId="2840" builtinId="8" hidden="1"/>
    <cellStyle name="Hyperlink" xfId="2842" builtinId="8" hidden="1"/>
    <cellStyle name="Hyperlink" xfId="2844" builtinId="8" hidden="1"/>
    <cellStyle name="Hyperlink" xfId="2846" builtinId="8" hidden="1"/>
    <cellStyle name="Hyperlink" xfId="2848" builtinId="8" hidden="1"/>
    <cellStyle name="Hyperlink" xfId="2850" builtinId="8" hidden="1"/>
    <cellStyle name="Hyperlink" xfId="2852" builtinId="8" hidden="1"/>
    <cellStyle name="Hyperlink" xfId="2854" builtinId="8" hidden="1"/>
    <cellStyle name="Hyperlink" xfId="2856" builtinId="8" hidden="1"/>
    <cellStyle name="Hyperlink" xfId="2858" builtinId="8" hidden="1"/>
    <cellStyle name="Hyperlink" xfId="2860" builtinId="8" hidden="1"/>
    <cellStyle name="Hyperlink" xfId="2862" builtinId="8" hidden="1"/>
    <cellStyle name="Hyperlink" xfId="2864" builtinId="8" hidden="1"/>
    <cellStyle name="Hyperlink" xfId="2866" builtinId="8" hidden="1"/>
    <cellStyle name="Hyperlink" xfId="2868" builtinId="8" hidden="1"/>
    <cellStyle name="Hyperlink" xfId="2870" builtinId="8" hidden="1"/>
    <cellStyle name="Hyperlink" xfId="2872" builtinId="8" hidden="1"/>
    <cellStyle name="Hyperlink" xfId="2874" builtinId="8" hidden="1"/>
    <cellStyle name="Hyperlink" xfId="2876" builtinId="8" hidden="1"/>
    <cellStyle name="Hyperlink" xfId="2878" builtinId="8" hidden="1"/>
    <cellStyle name="Hyperlink" xfId="2880" builtinId="8" hidden="1"/>
    <cellStyle name="Hyperlink" xfId="2882" builtinId="8" hidden="1"/>
    <cellStyle name="Hyperlink" xfId="2884" builtinId="8" hidden="1"/>
    <cellStyle name="Hyperlink" xfId="2886" builtinId="8" hidden="1"/>
    <cellStyle name="Hyperlink" xfId="2888" builtinId="8" hidden="1"/>
    <cellStyle name="Hyperlink" xfId="2890" builtinId="8" hidden="1"/>
    <cellStyle name="Hyperlink" xfId="2892" builtinId="8" hidden="1"/>
    <cellStyle name="Hyperlink" xfId="2894" builtinId="8" hidden="1"/>
    <cellStyle name="Hyperlink" xfId="2896" builtinId="8" hidden="1"/>
    <cellStyle name="Hyperlink" xfId="2898" builtinId="8" hidden="1"/>
    <cellStyle name="Hyperlink" xfId="2900" builtinId="8" hidden="1"/>
    <cellStyle name="Hyperlink" xfId="2902" builtinId="8" hidden="1"/>
    <cellStyle name="Hyperlink" xfId="2904" builtinId="8" hidden="1"/>
    <cellStyle name="Hyperlink" xfId="2906" builtinId="8" hidden="1"/>
    <cellStyle name="Hyperlink" xfId="2908" builtinId="8" hidden="1"/>
    <cellStyle name="Hyperlink" xfId="2910" builtinId="8" hidden="1"/>
    <cellStyle name="Hyperlink" xfId="2912" builtinId="8" hidden="1"/>
    <cellStyle name="Hyperlink" xfId="2914" builtinId="8" hidden="1"/>
    <cellStyle name="Hyperlink" xfId="2916" builtinId="8" hidden="1"/>
    <cellStyle name="Hyperlink" xfId="2918" builtinId="8" hidden="1"/>
    <cellStyle name="Hyperlink" xfId="2920" builtinId="8" hidden="1"/>
    <cellStyle name="Hyperlink" xfId="2922" builtinId="8" hidden="1"/>
    <cellStyle name="Hyperlink" xfId="2924" builtinId="8" hidden="1"/>
    <cellStyle name="Hyperlink" xfId="2926" builtinId="8" hidden="1"/>
    <cellStyle name="Hyperlink" xfId="2928" builtinId="8" hidden="1"/>
    <cellStyle name="Hyperlink" xfId="2930" builtinId="8" hidden="1"/>
    <cellStyle name="Hyperlink" xfId="2932" builtinId="8" hidden="1"/>
    <cellStyle name="Hyperlink" xfId="2934" builtinId="8" hidden="1"/>
    <cellStyle name="Hyperlink" xfId="2936" builtinId="8" hidden="1"/>
    <cellStyle name="Hyperlink" xfId="2938" builtinId="8" hidden="1"/>
    <cellStyle name="Hyperlink" xfId="2940" builtinId="8" hidden="1"/>
    <cellStyle name="Hyperlink" xfId="2942" builtinId="8" hidden="1"/>
    <cellStyle name="Hyperlink" xfId="2944" builtinId="8" hidden="1"/>
    <cellStyle name="Hyperlink" xfId="2946" builtinId="8" hidden="1"/>
    <cellStyle name="Hyperlink" xfId="2948" builtinId="8" hidden="1"/>
    <cellStyle name="Hyperlink" xfId="2950" builtinId="8" hidden="1"/>
    <cellStyle name="Hyperlink" xfId="2952" builtinId="8" hidden="1"/>
    <cellStyle name="Hyperlink" xfId="2954" builtinId="8" hidden="1"/>
    <cellStyle name="Hyperlink" xfId="2956" builtinId="8" hidden="1"/>
    <cellStyle name="Hyperlink" xfId="2958" builtinId="8" hidden="1"/>
    <cellStyle name="Hyperlink" xfId="2960" builtinId="8" hidden="1"/>
    <cellStyle name="Hyperlink" xfId="2962" builtinId="8" hidden="1"/>
    <cellStyle name="Hyperlink" xfId="2964" builtinId="8" hidden="1"/>
    <cellStyle name="Hyperlink" xfId="2966" builtinId="8" hidden="1"/>
    <cellStyle name="Hyperlink" xfId="2968" builtinId="8" hidden="1"/>
    <cellStyle name="Hyperlink" xfId="2970" builtinId="8" hidden="1"/>
    <cellStyle name="Hyperlink" xfId="2972" builtinId="8" hidden="1"/>
    <cellStyle name="Hyperlink" xfId="2974" builtinId="8" hidden="1"/>
    <cellStyle name="Hyperlink" xfId="2976" builtinId="8" hidden="1"/>
    <cellStyle name="Hyperlink" xfId="2978" builtinId="8" hidden="1"/>
    <cellStyle name="Hyperlink" xfId="2980" builtinId="8" hidden="1"/>
    <cellStyle name="Hyperlink" xfId="2982" builtinId="8" hidden="1"/>
    <cellStyle name="Hyperlink" xfId="2984" builtinId="8" hidden="1"/>
    <cellStyle name="Hyperlink" xfId="2986" builtinId="8" hidden="1"/>
    <cellStyle name="Hyperlink" xfId="2988" builtinId="8" hidden="1"/>
    <cellStyle name="Hyperlink" xfId="2990" builtinId="8" hidden="1"/>
    <cellStyle name="Hyperlink" xfId="2992" builtinId="8" hidden="1"/>
    <cellStyle name="Hyperlink" xfId="2994" builtinId="8" hidden="1"/>
    <cellStyle name="Hyperlink" xfId="2996" builtinId="8" hidden="1"/>
    <cellStyle name="Hyperlink" xfId="2998" builtinId="8" hidden="1"/>
    <cellStyle name="Hyperlink" xfId="3000" builtinId="8" hidden="1"/>
    <cellStyle name="Hyperlink" xfId="3002" builtinId="8" hidden="1"/>
    <cellStyle name="Hyperlink" xfId="3004" builtinId="8" hidden="1"/>
    <cellStyle name="Hyperlink" xfId="3006" builtinId="8" hidden="1"/>
    <cellStyle name="Hyperlink" xfId="3008" builtinId="8" hidden="1"/>
    <cellStyle name="Hyperlink" xfId="3010" builtinId="8" hidden="1"/>
    <cellStyle name="Hyperlink" xfId="3012" builtinId="8" hidden="1"/>
    <cellStyle name="Hyperlink" xfId="3014" builtinId="8" hidden="1"/>
    <cellStyle name="Hyperlink" xfId="3016" builtinId="8" hidden="1"/>
    <cellStyle name="Hyperlink" xfId="3018" builtinId="8" hidden="1"/>
    <cellStyle name="Hyperlink" xfId="3020" builtinId="8" hidden="1"/>
    <cellStyle name="Hyperlink" xfId="3022" builtinId="8" hidden="1"/>
    <cellStyle name="Hyperlink" xfId="3024" builtinId="8" hidden="1"/>
    <cellStyle name="Hyperlink" xfId="3026" builtinId="8" hidden="1"/>
    <cellStyle name="Hyperlink" xfId="3028" builtinId="8" hidden="1"/>
    <cellStyle name="Hyperlink" xfId="3030" builtinId="8" hidden="1"/>
    <cellStyle name="Hyperlink" xfId="3032" builtinId="8" hidden="1"/>
    <cellStyle name="Hyperlink" xfId="3034" builtinId="8" hidden="1"/>
    <cellStyle name="Hyperlink" xfId="3036" builtinId="8" hidden="1"/>
    <cellStyle name="Hyperlink" xfId="3038" builtinId="8" hidden="1"/>
    <cellStyle name="Hyperlink" xfId="3040" builtinId="8" hidden="1"/>
    <cellStyle name="Hyperlink" xfId="3042" builtinId="8" hidden="1"/>
    <cellStyle name="Hyperlink" xfId="3044" builtinId="8" hidden="1"/>
    <cellStyle name="Hyperlink" xfId="3046" builtinId="8" hidden="1"/>
    <cellStyle name="Hyperlink" xfId="3048" builtinId="8" hidden="1"/>
    <cellStyle name="Hyperlink" xfId="3050" builtinId="8" hidden="1"/>
    <cellStyle name="Hyperlink" xfId="3052" builtinId="8" hidden="1"/>
    <cellStyle name="Hyperlink" xfId="3054" builtinId="8" hidden="1"/>
    <cellStyle name="Hyperlink" xfId="3056" builtinId="8" hidden="1"/>
    <cellStyle name="Hyperlink" xfId="3058" builtinId="8" hidden="1"/>
    <cellStyle name="Hyperlink" xfId="3060" builtinId="8" hidden="1"/>
    <cellStyle name="Hyperlink" xfId="3062" builtinId="8" hidden="1"/>
    <cellStyle name="Hyperlink" xfId="3064" builtinId="8" hidden="1"/>
    <cellStyle name="Hyperlink" xfId="3066" builtinId="8" hidden="1"/>
    <cellStyle name="Hyperlink" xfId="3068" builtinId="8" hidden="1"/>
    <cellStyle name="Hyperlink" xfId="3070" builtinId="8" hidden="1"/>
    <cellStyle name="Hyperlink" xfId="3072" builtinId="8" hidden="1"/>
    <cellStyle name="Hyperlink" xfId="3074" builtinId="8" hidden="1"/>
    <cellStyle name="Hyperlink" xfId="3076" builtinId="8" hidden="1"/>
    <cellStyle name="Hyperlink" xfId="3078" builtinId="8" hidden="1"/>
    <cellStyle name="Hyperlink" xfId="3080" builtinId="8" hidden="1"/>
    <cellStyle name="Hyperlink" xfId="3082" builtinId="8" hidden="1"/>
    <cellStyle name="Hyperlink" xfId="3084" builtinId="8" hidden="1"/>
    <cellStyle name="Hyperlink" xfId="3086" builtinId="8" hidden="1"/>
    <cellStyle name="Hyperlink" xfId="3088" builtinId="8" hidden="1"/>
    <cellStyle name="Hyperlink" xfId="3090" builtinId="8" hidden="1"/>
    <cellStyle name="Hyperlink" xfId="3092" builtinId="8" hidden="1"/>
    <cellStyle name="Hyperlink" xfId="3094" builtinId="8" hidden="1"/>
    <cellStyle name="Hyperlink" xfId="3096" builtinId="8" hidden="1"/>
    <cellStyle name="Hyperlink" xfId="3098" builtinId="8" hidden="1"/>
    <cellStyle name="Hyperlink" xfId="3100" builtinId="8" hidden="1"/>
    <cellStyle name="Hyperlink" xfId="3102" builtinId="8" hidden="1"/>
    <cellStyle name="Hyperlink" xfId="3104" builtinId="8" hidden="1"/>
    <cellStyle name="Hyperlink" xfId="3106" builtinId="8" hidden="1"/>
    <cellStyle name="Hyperlink" xfId="3108" builtinId="8" hidden="1"/>
    <cellStyle name="Hyperlink" xfId="3110" builtinId="8" hidden="1"/>
    <cellStyle name="Hyperlink" xfId="3112" builtinId="8" hidden="1"/>
    <cellStyle name="Hyperlink" xfId="3114" builtinId="8" hidden="1"/>
    <cellStyle name="Hyperlink" xfId="3116" builtinId="8" hidden="1"/>
    <cellStyle name="Hyperlink" xfId="3118" builtinId="8" hidden="1"/>
    <cellStyle name="Hyperlink" xfId="3120" builtinId="8" hidden="1"/>
    <cellStyle name="Hyperlink" xfId="3122" builtinId="8" hidden="1"/>
    <cellStyle name="Hyperlink" xfId="3124" builtinId="8" hidden="1"/>
    <cellStyle name="Hyperlink" xfId="3126" builtinId="8" hidden="1"/>
    <cellStyle name="Hyperlink" xfId="3128" builtinId="8" hidden="1"/>
    <cellStyle name="Hyperlink" xfId="3130" builtinId="8" hidden="1"/>
    <cellStyle name="Hyperlink" xfId="3132" builtinId="8" hidden="1"/>
    <cellStyle name="Hyperlink" xfId="3134" builtinId="8" hidden="1"/>
    <cellStyle name="Hyperlink" xfId="3136" builtinId="8" hidden="1"/>
    <cellStyle name="Hyperlink" xfId="3138" builtinId="8" hidden="1"/>
    <cellStyle name="Hyperlink" xfId="3140" builtinId="8" hidden="1"/>
    <cellStyle name="Hyperlink" xfId="3142" builtinId="8" hidden="1"/>
    <cellStyle name="Hyperlink" xfId="3144" builtinId="8" hidden="1"/>
    <cellStyle name="Hyperlink" xfId="3146" builtinId="8" hidden="1"/>
    <cellStyle name="Hyperlink" xfId="3148" builtinId="8" hidden="1"/>
    <cellStyle name="Hyperlink" xfId="3150" builtinId="8" hidden="1"/>
    <cellStyle name="Hyperlink" xfId="3152" builtinId="8" hidden="1"/>
    <cellStyle name="Hyperlink" xfId="3154" builtinId="8" hidden="1"/>
    <cellStyle name="Hyperlink" xfId="3156" builtinId="8" hidden="1"/>
    <cellStyle name="Hyperlink" xfId="3158" builtinId="8" hidden="1"/>
    <cellStyle name="Hyperlink" xfId="3160" builtinId="8" hidden="1"/>
    <cellStyle name="Hyperlink" xfId="3162" builtinId="8" hidden="1"/>
    <cellStyle name="Hyperlink" xfId="3164" builtinId="8" hidden="1"/>
    <cellStyle name="Hyperlink" xfId="3166" builtinId="8" hidden="1"/>
    <cellStyle name="Hyperlink" xfId="3168" builtinId="8" hidden="1"/>
    <cellStyle name="Hyperlink" xfId="3170" builtinId="8" hidden="1"/>
    <cellStyle name="Hyperlink" xfId="3172" builtinId="8" hidden="1"/>
    <cellStyle name="Hyperlink" xfId="3174" builtinId="8" hidden="1"/>
    <cellStyle name="Hyperlink" xfId="3176" builtinId="8" hidden="1"/>
    <cellStyle name="Hyperlink" xfId="3178" builtinId="8" hidden="1"/>
    <cellStyle name="Hyperlink" xfId="3180" builtinId="8" hidden="1"/>
    <cellStyle name="Hyperlink" xfId="3182" builtinId="8" hidden="1"/>
    <cellStyle name="Hyperlink" xfId="3184" builtinId="8" hidden="1"/>
    <cellStyle name="Hyperlink" xfId="3186" builtinId="8" hidden="1"/>
    <cellStyle name="Hyperlink" xfId="3188" builtinId="8" hidden="1"/>
    <cellStyle name="Hyperlink" xfId="3190" builtinId="8" hidden="1"/>
    <cellStyle name="Hyperlink" xfId="3192" builtinId="8" hidden="1"/>
    <cellStyle name="Hyperlink" xfId="3194" builtinId="8" hidden="1"/>
    <cellStyle name="Hyperlink" xfId="3196" builtinId="8" hidden="1"/>
    <cellStyle name="Hyperlink" xfId="3198" builtinId="8" hidden="1"/>
    <cellStyle name="Hyperlink" xfId="3200" builtinId="8" hidden="1"/>
    <cellStyle name="Hyperlink" xfId="3202" builtinId="8" hidden="1"/>
    <cellStyle name="Hyperlink" xfId="3204" builtinId="8" hidden="1"/>
    <cellStyle name="Hyperlink" xfId="3206" builtinId="8" hidden="1"/>
    <cellStyle name="Hyperlink" xfId="3208" builtinId="8" hidden="1"/>
    <cellStyle name="Hyperlink" xfId="3210" builtinId="8" hidden="1"/>
    <cellStyle name="Hyperlink" xfId="3212" builtinId="8" hidden="1"/>
    <cellStyle name="Hyperlink" xfId="3214" builtinId="8" hidden="1"/>
    <cellStyle name="Hyperlink" xfId="3216" builtinId="8" hidden="1"/>
    <cellStyle name="Hyperlink" xfId="3218" builtinId="8" hidden="1"/>
    <cellStyle name="Hyperlink" xfId="3220" builtinId="8" hidden="1"/>
    <cellStyle name="Hyperlink" xfId="3222" builtinId="8" hidden="1"/>
    <cellStyle name="Hyperlink" xfId="3224" builtinId="8" hidden="1"/>
    <cellStyle name="Hyperlink" xfId="3226" builtinId="8" hidden="1"/>
    <cellStyle name="Hyperlink" xfId="3228" builtinId="8" hidden="1"/>
    <cellStyle name="Hyperlink" xfId="3230" builtinId="8" hidden="1"/>
    <cellStyle name="Hyperlink" xfId="3232" builtinId="8" hidden="1"/>
    <cellStyle name="Hyperlink" xfId="3234" builtinId="8" hidden="1"/>
    <cellStyle name="Hyperlink" xfId="3236" builtinId="8" hidden="1"/>
    <cellStyle name="Hyperlink" xfId="3238" builtinId="8" hidden="1"/>
    <cellStyle name="Hyperlink" xfId="3240" builtinId="8" hidden="1"/>
    <cellStyle name="Hyperlink" xfId="3242" builtinId="8" hidden="1"/>
    <cellStyle name="Hyperlink" xfId="3244" builtinId="8" hidden="1"/>
    <cellStyle name="Hyperlink" xfId="3246" builtinId="8" hidden="1"/>
    <cellStyle name="Hyperlink" xfId="3248" builtinId="8" hidden="1"/>
    <cellStyle name="Hyperlink" xfId="3250" builtinId="8" hidden="1"/>
    <cellStyle name="Hyperlink" xfId="3252" builtinId="8" hidden="1"/>
    <cellStyle name="Hyperlink" xfId="3254" builtinId="8" hidden="1"/>
    <cellStyle name="Hyperlink" xfId="3256" builtinId="8" hidden="1"/>
    <cellStyle name="Hyperlink" xfId="3258" builtinId="8" hidden="1"/>
    <cellStyle name="Hyperlink" xfId="3260" builtinId="8" hidden="1"/>
    <cellStyle name="Hyperlink" xfId="3262" builtinId="8" hidden="1"/>
    <cellStyle name="Hyperlink" xfId="3264" builtinId="8" hidden="1"/>
    <cellStyle name="Hyperlink" xfId="3266" builtinId="8" hidden="1"/>
    <cellStyle name="Hyperlink" xfId="3268" builtinId="8" hidden="1"/>
    <cellStyle name="Hyperlink" xfId="3270" builtinId="8" hidden="1"/>
    <cellStyle name="Hyperlink" xfId="3272" builtinId="8" hidden="1"/>
    <cellStyle name="Hyperlink" xfId="3274" builtinId="8" hidden="1"/>
    <cellStyle name="Hyperlink" xfId="3276" builtinId="8" hidden="1"/>
    <cellStyle name="Hyperlink" xfId="3278" builtinId="8" hidden="1"/>
    <cellStyle name="Hyperlink" xfId="3280" builtinId="8" hidden="1"/>
    <cellStyle name="Hyperlink" xfId="3282" builtinId="8" hidden="1"/>
    <cellStyle name="Hyperlink" xfId="3284" builtinId="8" hidden="1"/>
    <cellStyle name="Hyperlink" xfId="3286" builtinId="8" hidden="1"/>
    <cellStyle name="Hyperlink" xfId="3288" builtinId="8" hidden="1"/>
    <cellStyle name="Hyperlink" xfId="3290" builtinId="8" hidden="1"/>
    <cellStyle name="Hyperlink" xfId="3292" builtinId="8" hidden="1"/>
    <cellStyle name="Hyperlink" xfId="3294" builtinId="8" hidden="1"/>
    <cellStyle name="Hyperlink" xfId="3296" builtinId="8" hidden="1"/>
    <cellStyle name="Hyperlink" xfId="3298" builtinId="8" hidden="1"/>
    <cellStyle name="Hyperlink" xfId="3300" builtinId="8" hidden="1"/>
    <cellStyle name="Hyperlink" xfId="3302" builtinId="8" hidden="1"/>
    <cellStyle name="Hyperlink" xfId="3304" builtinId="8" hidden="1"/>
    <cellStyle name="Hyperlink" xfId="3306" builtinId="8" hidden="1"/>
    <cellStyle name="Hyperlink" xfId="3308" builtinId="8" hidden="1"/>
    <cellStyle name="Hyperlink" xfId="3310" builtinId="8" hidden="1"/>
    <cellStyle name="Hyperlink" xfId="3312" builtinId="8" hidden="1"/>
    <cellStyle name="Hyperlink" xfId="3314" builtinId="8" hidden="1"/>
    <cellStyle name="Hyperlink" xfId="3316" builtinId="8" hidden="1"/>
    <cellStyle name="Hyperlink" xfId="3318" builtinId="8" hidden="1"/>
    <cellStyle name="Hyperlink" xfId="3320" builtinId="8" hidden="1"/>
    <cellStyle name="Hyperlink" xfId="3322" builtinId="8" hidden="1"/>
    <cellStyle name="Hyperlink" xfId="3324" builtinId="8" hidden="1"/>
    <cellStyle name="Hyperlink" xfId="3326" builtinId="8" hidden="1"/>
    <cellStyle name="Hyperlink" xfId="3328" builtinId="8" hidden="1"/>
    <cellStyle name="Hyperlink" xfId="3330" builtinId="8" hidden="1"/>
    <cellStyle name="Hyperlink" xfId="3332" builtinId="8" hidden="1"/>
    <cellStyle name="Hyperlink" xfId="3334" builtinId="8" hidden="1"/>
    <cellStyle name="Hyperlink" xfId="3336" builtinId="8" hidden="1"/>
    <cellStyle name="Hyperlink" xfId="3338" builtinId="8" hidden="1"/>
    <cellStyle name="Hyperlink" xfId="3340" builtinId="8" hidden="1"/>
    <cellStyle name="Hyperlink" xfId="3342" builtinId="8" hidden="1"/>
    <cellStyle name="Hyperlink" xfId="3344" builtinId="8" hidden="1"/>
    <cellStyle name="Hyperlink" xfId="3346" builtinId="8" hidden="1"/>
    <cellStyle name="Hyperlink" xfId="3348" builtinId="8" hidden="1"/>
    <cellStyle name="Hyperlink" xfId="3350" builtinId="8" hidden="1"/>
    <cellStyle name="Hyperlink" xfId="3352" builtinId="8" hidden="1"/>
    <cellStyle name="Hyperlink" xfId="3354" builtinId="8" hidden="1"/>
    <cellStyle name="Hyperlink" xfId="3356" builtinId="8" hidden="1"/>
    <cellStyle name="Hyperlink" xfId="3358" builtinId="8" hidden="1"/>
    <cellStyle name="Hyperlink" xfId="3360" builtinId="8" hidden="1"/>
    <cellStyle name="Hyperlink" xfId="3362" builtinId="8" hidden="1"/>
    <cellStyle name="Hyperlink" xfId="3364" builtinId="8" hidden="1"/>
    <cellStyle name="Hyperlink" xfId="3366" builtinId="8" hidden="1"/>
    <cellStyle name="Hyperlink" xfId="3368" builtinId="8" hidden="1"/>
    <cellStyle name="Hyperlink" xfId="3370" builtinId="8" hidden="1"/>
    <cellStyle name="Hyperlink" xfId="3372" builtinId="8" hidden="1"/>
    <cellStyle name="Hyperlink" xfId="3374" builtinId="8" hidden="1"/>
    <cellStyle name="Hyperlink" xfId="3376" builtinId="8" hidden="1"/>
    <cellStyle name="Hyperlink" xfId="3378" builtinId="8" hidden="1"/>
    <cellStyle name="Hyperlink" xfId="3380" builtinId="8" hidden="1"/>
    <cellStyle name="Hyperlink" xfId="3382" builtinId="8" hidden="1"/>
    <cellStyle name="Hyperlink" xfId="3384" builtinId="8" hidden="1"/>
    <cellStyle name="Hyperlink" xfId="3386" builtinId="8" hidden="1"/>
    <cellStyle name="Hyperlink" xfId="3388" builtinId="8" hidden="1"/>
    <cellStyle name="Hyperlink" xfId="3390" builtinId="8" hidden="1"/>
    <cellStyle name="Hyperlink" xfId="3392" builtinId="8" hidden="1"/>
    <cellStyle name="Hyperlink" xfId="3394" builtinId="8" hidden="1"/>
    <cellStyle name="Hyperlink" xfId="3396" builtinId="8" hidden="1"/>
    <cellStyle name="Hyperlink" xfId="3398" builtinId="8" hidden="1"/>
    <cellStyle name="Hyperlink" xfId="3400" builtinId="8" hidden="1"/>
    <cellStyle name="Hyperlink" xfId="3402" builtinId="8" hidden="1"/>
    <cellStyle name="Hyperlink" xfId="3404" builtinId="8" hidden="1"/>
    <cellStyle name="Hyperlink" xfId="3406" builtinId="8" hidden="1"/>
    <cellStyle name="Hyperlink" xfId="3408" builtinId="8" hidden="1"/>
    <cellStyle name="Hyperlink" xfId="3410" builtinId="8" hidden="1"/>
    <cellStyle name="Hyperlink" xfId="3412" builtinId="8" hidden="1"/>
    <cellStyle name="Hyperlink" xfId="3414" builtinId="8" hidden="1"/>
    <cellStyle name="Hyperlink" xfId="3416" builtinId="8" hidden="1"/>
    <cellStyle name="Hyperlink" xfId="3418" builtinId="8" hidden="1"/>
    <cellStyle name="Hyperlink" xfId="3420" builtinId="8" hidden="1"/>
    <cellStyle name="Hyperlink" xfId="3422" builtinId="8" hidden="1"/>
    <cellStyle name="Hyperlink" xfId="3424" builtinId="8" hidden="1"/>
    <cellStyle name="Hyperlink" xfId="3426" builtinId="8" hidden="1"/>
    <cellStyle name="Hyperlink" xfId="3428" builtinId="8" hidden="1"/>
    <cellStyle name="Hyperlink" xfId="3430" builtinId="8" hidden="1"/>
    <cellStyle name="Hyperlink" xfId="3432" builtinId="8" hidden="1"/>
    <cellStyle name="Hyperlink" xfId="3434" builtinId="8" hidden="1"/>
    <cellStyle name="Hyperlink" xfId="3436" builtinId="8" hidden="1"/>
    <cellStyle name="Hyperlink" xfId="3438" builtinId="8" hidden="1"/>
    <cellStyle name="Hyperlink" xfId="3440" builtinId="8" hidden="1"/>
    <cellStyle name="Hyperlink" xfId="3442" builtinId="8" hidden="1"/>
    <cellStyle name="Hyperlink" xfId="3444" builtinId="8" hidden="1"/>
    <cellStyle name="Hyperlink" xfId="3446" builtinId="8" hidden="1"/>
    <cellStyle name="Hyperlink" xfId="3448" builtinId="8" hidden="1"/>
    <cellStyle name="Hyperlink" xfId="3450" builtinId="8" hidden="1"/>
    <cellStyle name="Hyperlink" xfId="3452" builtinId="8" hidden="1"/>
    <cellStyle name="Hyperlink" xfId="3454" builtinId="8" hidden="1"/>
    <cellStyle name="Hyperlink" xfId="3456" builtinId="8" hidden="1"/>
    <cellStyle name="Hyperlink" xfId="3458" builtinId="8" hidden="1"/>
    <cellStyle name="Hyperlink" xfId="3460" builtinId="8" hidden="1"/>
    <cellStyle name="Hyperlink" xfId="3462" builtinId="8" hidden="1"/>
    <cellStyle name="Hyperlink" xfId="3464" builtinId="8" hidden="1"/>
    <cellStyle name="Hyperlink" xfId="3466" builtinId="8" hidden="1"/>
    <cellStyle name="Hyperlink" xfId="3468" builtinId="8" hidden="1"/>
    <cellStyle name="Hyperlink" xfId="3470" builtinId="8" hidden="1"/>
    <cellStyle name="Hyperlink" xfId="3472" builtinId="8" hidden="1"/>
    <cellStyle name="Hyperlink" xfId="3474" builtinId="8" hidden="1"/>
    <cellStyle name="Hyperlink" xfId="3476" builtinId="8" hidden="1"/>
    <cellStyle name="Hyperlink" xfId="3478" builtinId="8" hidden="1"/>
    <cellStyle name="Hyperlink" xfId="3480" builtinId="8" hidden="1"/>
    <cellStyle name="Hyperlink" xfId="3482" builtinId="8" hidden="1"/>
    <cellStyle name="Hyperlink" xfId="3484" builtinId="8" hidden="1"/>
    <cellStyle name="Hyperlink" xfId="3486" builtinId="8" hidden="1"/>
    <cellStyle name="Hyperlink" xfId="3488" builtinId="8" hidden="1"/>
    <cellStyle name="Hyperlink" xfId="3490" builtinId="8" hidden="1"/>
    <cellStyle name="Hyperlink" xfId="3492" builtinId="8" hidden="1"/>
    <cellStyle name="Hyperlink" xfId="3494" builtinId="8" hidden="1"/>
    <cellStyle name="Hyperlink" xfId="3496" builtinId="8" hidden="1"/>
    <cellStyle name="Hyperlink" xfId="3498" builtinId="8" hidden="1"/>
    <cellStyle name="Hyperlink" xfId="3500" builtinId="8" hidden="1"/>
    <cellStyle name="Hyperlink" xfId="3502" builtinId="8" hidden="1"/>
    <cellStyle name="Hyperlink" xfId="3504" builtinId="8" hidden="1"/>
    <cellStyle name="Hyperlink" xfId="3506" builtinId="8" hidden="1"/>
    <cellStyle name="Hyperlink" xfId="3508" builtinId="8" hidden="1"/>
    <cellStyle name="Hyperlink" xfId="3510" builtinId="8" hidden="1"/>
    <cellStyle name="Hyperlink" xfId="3512" builtinId="8" hidden="1"/>
    <cellStyle name="Hyperlink" xfId="3514" builtinId="8" hidden="1"/>
    <cellStyle name="Hyperlink" xfId="3516" builtinId="8" hidden="1"/>
    <cellStyle name="Hyperlink" xfId="3518" builtinId="8" hidden="1"/>
    <cellStyle name="Hyperlink" xfId="3520" builtinId="8" hidden="1"/>
    <cellStyle name="Hyperlink" xfId="3522" builtinId="8" hidden="1"/>
    <cellStyle name="Hyperlink" xfId="3524" builtinId="8" hidden="1"/>
    <cellStyle name="Hyperlink" xfId="3526" builtinId="8" hidden="1"/>
    <cellStyle name="Hyperlink" xfId="3528" builtinId="8" hidden="1"/>
    <cellStyle name="Hyperlink" xfId="3530" builtinId="8" hidden="1"/>
    <cellStyle name="Hyperlink" xfId="3532" builtinId="8" hidden="1"/>
    <cellStyle name="Hyperlink" xfId="3534" builtinId="8" hidden="1"/>
    <cellStyle name="Hyperlink" xfId="3536" builtinId="8" hidden="1"/>
    <cellStyle name="Hyperlink" xfId="3538" builtinId="8" hidden="1"/>
    <cellStyle name="Hyperlink" xfId="3540" builtinId="8" hidden="1"/>
    <cellStyle name="Hyperlink" xfId="3542" builtinId="8" hidden="1"/>
    <cellStyle name="Hyperlink" xfId="3544" builtinId="8" hidden="1"/>
    <cellStyle name="Hyperlink" xfId="3546" builtinId="8" hidden="1"/>
    <cellStyle name="Hyperlink" xfId="3548" builtinId="8" hidden="1"/>
    <cellStyle name="Hyperlink" xfId="3550" builtinId="8" hidden="1"/>
    <cellStyle name="Hyperlink" xfId="3552" builtinId="8" hidden="1"/>
    <cellStyle name="Hyperlink" xfId="3554" builtinId="8" hidden="1"/>
    <cellStyle name="Hyperlink" xfId="3556" builtinId="8" hidden="1"/>
    <cellStyle name="Hyperlink" xfId="3558" builtinId="8" hidden="1"/>
    <cellStyle name="Hyperlink" xfId="3560" builtinId="8" hidden="1"/>
    <cellStyle name="Hyperlink" xfId="3562" builtinId="8" hidden="1"/>
    <cellStyle name="Hyperlink" xfId="3564" builtinId="8" hidden="1"/>
    <cellStyle name="Hyperlink" xfId="3566" builtinId="8" hidden="1"/>
    <cellStyle name="Hyperlink" xfId="3568" builtinId="8" hidden="1"/>
    <cellStyle name="Hyperlink" xfId="3570" builtinId="8" hidden="1"/>
    <cellStyle name="Hyperlink" xfId="3572" builtinId="8" hidden="1"/>
    <cellStyle name="Hyperlink" xfId="3574" builtinId="8" hidden="1"/>
    <cellStyle name="Hyperlink" xfId="3576" builtinId="8" hidden="1"/>
    <cellStyle name="Hyperlink" xfId="3578" builtinId="8" hidden="1"/>
    <cellStyle name="Hyperlink" xfId="3580" builtinId="8" hidden="1"/>
    <cellStyle name="Hyperlink" xfId="3582" builtinId="8" hidden="1"/>
    <cellStyle name="Hyperlink" xfId="3584" builtinId="8" hidden="1"/>
    <cellStyle name="Hyperlink" xfId="3586" builtinId="8" hidden="1"/>
    <cellStyle name="Hyperlink" xfId="3588" builtinId="8" hidden="1"/>
    <cellStyle name="Hyperlink" xfId="3590" builtinId="8" hidden="1"/>
    <cellStyle name="Hyperlink" xfId="3592" builtinId="8" hidden="1"/>
    <cellStyle name="Hyperlink" xfId="3594" builtinId="8" hidden="1"/>
    <cellStyle name="Hyperlink" xfId="3596" builtinId="8" hidden="1"/>
    <cellStyle name="Hyperlink" xfId="3598" builtinId="8" hidden="1"/>
    <cellStyle name="Hyperlink" xfId="3600" builtinId="8" hidden="1"/>
    <cellStyle name="Hyperlink" xfId="3602" builtinId="8" hidden="1"/>
    <cellStyle name="Hyperlink" xfId="3604" builtinId="8" hidden="1"/>
    <cellStyle name="Hyperlink" xfId="3606" builtinId="8" hidden="1"/>
    <cellStyle name="Hyperlink" xfId="3608" builtinId="8" hidden="1"/>
    <cellStyle name="Hyperlink" xfId="3610" builtinId="8" hidden="1"/>
    <cellStyle name="Hyperlink" xfId="3612" builtinId="8" hidden="1"/>
    <cellStyle name="Hyperlink" xfId="3614" builtinId="8" hidden="1"/>
    <cellStyle name="Hyperlink" xfId="3616" builtinId="8" hidden="1"/>
    <cellStyle name="Hyperlink" xfId="3618" builtinId="8" hidden="1"/>
    <cellStyle name="Hyperlink" xfId="3620" builtinId="8" hidden="1"/>
    <cellStyle name="Hyperlink" xfId="3622" builtinId="8" hidden="1"/>
    <cellStyle name="Hyperlink" xfId="3624" builtinId="8" hidden="1"/>
    <cellStyle name="Hyperlink" xfId="3626" builtinId="8" hidden="1"/>
    <cellStyle name="Hyperlink" xfId="3628" builtinId="8" hidden="1"/>
    <cellStyle name="Hyperlink" xfId="3630" builtinId="8" hidden="1"/>
    <cellStyle name="Hyperlink" xfId="3632" builtinId="8" hidden="1"/>
    <cellStyle name="Hyperlink" xfId="3634" builtinId="8" hidden="1"/>
    <cellStyle name="Hyperlink" xfId="3636" builtinId="8" hidden="1"/>
    <cellStyle name="Hyperlink" xfId="3638" builtinId="8" hidden="1"/>
    <cellStyle name="Hyperlink" xfId="3640" builtinId="8" hidden="1"/>
    <cellStyle name="Hyperlink" xfId="3642" builtinId="8" hidden="1"/>
    <cellStyle name="Hyperlink" xfId="3644" builtinId="8" hidden="1"/>
    <cellStyle name="Hyperlink" xfId="3646" builtinId="8" hidden="1"/>
    <cellStyle name="Hyperlink" xfId="3648" builtinId="8" hidden="1"/>
    <cellStyle name="Hyperlink" xfId="3650" builtinId="8" hidden="1"/>
    <cellStyle name="Hyperlink" xfId="3652" builtinId="8" hidden="1"/>
    <cellStyle name="Hyperlink" xfId="3654" builtinId="8" hidden="1"/>
    <cellStyle name="Hyperlink" xfId="3656" builtinId="8" hidden="1"/>
    <cellStyle name="Hyperlink" xfId="3658" builtinId="8" hidden="1"/>
    <cellStyle name="Hyperlink" xfId="3660" builtinId="8" hidden="1"/>
    <cellStyle name="Hyperlink" xfId="3662" builtinId="8" hidden="1"/>
    <cellStyle name="Hyperlink" xfId="3664" builtinId="8" hidden="1"/>
    <cellStyle name="Hyperlink" xfId="3666" builtinId="8" hidden="1"/>
    <cellStyle name="Hyperlink" xfId="3668" builtinId="8" hidden="1"/>
    <cellStyle name="Hyperlink" xfId="3670" builtinId="8" hidden="1"/>
    <cellStyle name="Hyperlink" xfId="3672" builtinId="8" hidden="1"/>
    <cellStyle name="Hyperlink" xfId="3674" builtinId="8" hidden="1"/>
    <cellStyle name="Hyperlink" xfId="3676" builtinId="8" hidden="1"/>
    <cellStyle name="Hyperlink" xfId="3678" builtinId="8" hidden="1"/>
    <cellStyle name="Hyperlink" xfId="3680" builtinId="8" hidden="1"/>
    <cellStyle name="Hyperlink" xfId="3682" builtinId="8" hidden="1"/>
    <cellStyle name="Hyperlink" xfId="3684" builtinId="8" hidden="1"/>
    <cellStyle name="Hyperlink" xfId="3686" builtinId="8" hidden="1"/>
    <cellStyle name="Hyperlink" xfId="3688" builtinId="8" hidden="1"/>
    <cellStyle name="Hyperlink" xfId="3690" builtinId="8" hidden="1"/>
    <cellStyle name="Hyperlink" xfId="3692" builtinId="8" hidden="1"/>
    <cellStyle name="Hyperlink" xfId="3694" builtinId="8" hidden="1"/>
    <cellStyle name="Hyperlink" xfId="3696" builtinId="8" hidden="1"/>
    <cellStyle name="Hyperlink" xfId="3698" builtinId="8" hidden="1"/>
    <cellStyle name="Hyperlink" xfId="3700" builtinId="8" hidden="1"/>
    <cellStyle name="Hyperlink" xfId="3702" builtinId="8" hidden="1"/>
    <cellStyle name="Hyperlink" xfId="3704" builtinId="8" hidden="1"/>
    <cellStyle name="Hyperlink" xfId="3706" builtinId="8" hidden="1"/>
    <cellStyle name="Hyperlink" xfId="3708" builtinId="8" hidden="1"/>
    <cellStyle name="Hyperlink" xfId="3710" builtinId="8" hidden="1"/>
    <cellStyle name="Hyperlink" xfId="3712" builtinId="8" hidden="1"/>
    <cellStyle name="Hyperlink" xfId="3714" builtinId="8" hidden="1"/>
    <cellStyle name="Hyperlink" xfId="3716" builtinId="8" hidden="1"/>
    <cellStyle name="Hyperlink" xfId="3718" builtinId="8" hidden="1"/>
    <cellStyle name="Hyperlink" xfId="3720" builtinId="8" hidden="1"/>
    <cellStyle name="Hyperlink" xfId="3722" builtinId="8" hidden="1"/>
    <cellStyle name="Hyperlink" xfId="3724" builtinId="8" hidden="1"/>
    <cellStyle name="Hyperlink" xfId="3726" builtinId="8" hidden="1"/>
    <cellStyle name="Hyperlink" xfId="3728" builtinId="8" hidden="1"/>
    <cellStyle name="Hyperlink" xfId="3730" builtinId="8" hidden="1"/>
    <cellStyle name="Hyperlink" xfId="3732" builtinId="8" hidden="1"/>
    <cellStyle name="Hyperlink" xfId="3734" builtinId="8" hidden="1"/>
    <cellStyle name="Hyperlink" xfId="3736" builtinId="8" hidden="1"/>
    <cellStyle name="Hyperlink" xfId="3738" builtinId="8" hidden="1"/>
    <cellStyle name="Hyperlink" xfId="3740" builtinId="8" hidden="1"/>
    <cellStyle name="Hyperlink" xfId="3742" builtinId="8" hidden="1"/>
    <cellStyle name="Hyperlink" xfId="3744" builtinId="8" hidden="1"/>
    <cellStyle name="Hyperlink" xfId="3746" builtinId="8" hidden="1"/>
    <cellStyle name="Hyperlink" xfId="3748" builtinId="8" hidden="1"/>
    <cellStyle name="Hyperlink" xfId="3750" builtinId="8" hidden="1"/>
    <cellStyle name="Hyperlink" xfId="3752" builtinId="8" hidden="1"/>
    <cellStyle name="Hyperlink" xfId="3754" builtinId="8" hidden="1"/>
    <cellStyle name="Hyperlink" xfId="3756" builtinId="8" hidden="1"/>
    <cellStyle name="Hyperlink" xfId="3758" builtinId="8" hidden="1"/>
    <cellStyle name="Hyperlink" xfId="3760" builtinId="8" hidden="1"/>
    <cellStyle name="Hyperlink" xfId="3762" builtinId="8" hidden="1"/>
    <cellStyle name="Hyperlink" xfId="3764" builtinId="8" hidden="1"/>
    <cellStyle name="Hyperlink" xfId="3766" builtinId="8" hidden="1"/>
    <cellStyle name="Hyperlink" xfId="3768" builtinId="8" hidden="1"/>
    <cellStyle name="Hyperlink" xfId="3770" builtinId="8" hidden="1"/>
    <cellStyle name="Hyperlink" xfId="3772" builtinId="8" hidden="1"/>
    <cellStyle name="Hyperlink" xfId="3774" builtinId="8" hidden="1"/>
    <cellStyle name="Hyperlink" xfId="3776" builtinId="8" hidden="1"/>
    <cellStyle name="Hyperlink" xfId="3778" builtinId="8" hidden="1"/>
    <cellStyle name="Hyperlink" xfId="3780" builtinId="8" hidden="1"/>
    <cellStyle name="Hyperlink" xfId="3782" builtinId="8" hidden="1"/>
    <cellStyle name="Hyperlink" xfId="3784" builtinId="8" hidden="1"/>
    <cellStyle name="Hyperlink" xfId="3786" builtinId="8" hidden="1"/>
    <cellStyle name="Hyperlink" xfId="3788" builtinId="8" hidden="1"/>
    <cellStyle name="Hyperlink" xfId="3790" builtinId="8" hidden="1"/>
    <cellStyle name="Hyperlink" xfId="3792" builtinId="8" hidden="1"/>
    <cellStyle name="Hyperlink" xfId="3794" builtinId="8" hidden="1"/>
    <cellStyle name="Hyperlink" xfId="3796" builtinId="8" hidden="1"/>
    <cellStyle name="Hyperlink" xfId="3798" builtinId="8" hidden="1"/>
    <cellStyle name="Hyperlink" xfId="3800" builtinId="8" hidden="1"/>
    <cellStyle name="Hyperlink" xfId="3802" builtinId="8" hidden="1"/>
    <cellStyle name="Hyperlink" xfId="3804" builtinId="8" hidden="1"/>
    <cellStyle name="Hyperlink" xfId="3806" builtinId="8" hidden="1"/>
    <cellStyle name="Hyperlink" xfId="3808" builtinId="8" hidden="1"/>
    <cellStyle name="Hyperlink" xfId="3810" builtinId="8" hidden="1"/>
    <cellStyle name="Hyperlink" xfId="3812" builtinId="8" hidden="1"/>
    <cellStyle name="Hyperlink" xfId="3814" builtinId="8" hidden="1"/>
    <cellStyle name="Hyperlink" xfId="3816" builtinId="8" hidden="1"/>
    <cellStyle name="Hyperlink" xfId="3818" builtinId="8" hidden="1"/>
    <cellStyle name="Hyperlink" xfId="3820" builtinId="8" hidden="1"/>
    <cellStyle name="Hyperlink" xfId="3822" builtinId="8" hidden="1"/>
    <cellStyle name="Hyperlink" xfId="3824" builtinId="8" hidden="1"/>
    <cellStyle name="Hyperlink" xfId="3826" builtinId="8" hidden="1"/>
    <cellStyle name="Hyperlink" xfId="3828" builtinId="8" hidden="1"/>
    <cellStyle name="Hyperlink" xfId="3830" builtinId="8" hidden="1"/>
    <cellStyle name="Hyperlink" xfId="3832" builtinId="8" hidden="1"/>
    <cellStyle name="Hyperlink" xfId="3834" builtinId="8" hidden="1"/>
    <cellStyle name="Hyperlink" xfId="3836" builtinId="8" hidden="1"/>
    <cellStyle name="Hyperlink" xfId="3838" builtinId="8" hidden="1"/>
    <cellStyle name="Hyperlink" xfId="3840" builtinId="8" hidden="1"/>
    <cellStyle name="Hyperlink" xfId="3842" builtinId="8" hidden="1"/>
    <cellStyle name="Hyperlink" xfId="3844" builtinId="8" hidden="1"/>
    <cellStyle name="Hyperlink" xfId="3846" builtinId="8" hidden="1"/>
    <cellStyle name="Hyperlink" xfId="3848" builtinId="8" hidden="1"/>
    <cellStyle name="Hyperlink" xfId="3850" builtinId="8" hidden="1"/>
    <cellStyle name="Hyperlink" xfId="3852" builtinId="8" hidden="1"/>
    <cellStyle name="Hyperlink" xfId="3854" builtinId="8" hidden="1"/>
    <cellStyle name="Hyperlink" xfId="3856" builtinId="8" hidden="1"/>
    <cellStyle name="Hyperlink" xfId="3858" builtinId="8" hidden="1"/>
    <cellStyle name="Hyperlink" xfId="3860" builtinId="8" hidden="1"/>
    <cellStyle name="Hyperlink" xfId="3862" builtinId="8" hidden="1"/>
    <cellStyle name="Hyperlink" xfId="3864" builtinId="8" hidden="1"/>
    <cellStyle name="Hyperlink" xfId="3866" builtinId="8" hidden="1"/>
    <cellStyle name="Hyperlink" xfId="3868" builtinId="8" hidden="1"/>
    <cellStyle name="Hyperlink" xfId="3870" builtinId="8" hidden="1"/>
    <cellStyle name="Hyperlink" xfId="3872" builtinId="8" hidden="1"/>
    <cellStyle name="Hyperlink" xfId="3874" builtinId="8" hidden="1"/>
    <cellStyle name="Hyperlink" xfId="3876" builtinId="8" hidden="1"/>
    <cellStyle name="Hyperlink" xfId="3878" builtinId="8" hidden="1"/>
    <cellStyle name="Normal" xfId="0" builtinId="0"/>
    <cellStyle name="Normal 2" xfId="3880" xr:uid="{9DFAF5D8-C9AC-F449-A34E-79F8ADC71BFB}"/>
    <cellStyle name="Per cent" xfId="1485" builtinId="5"/>
    <cellStyle name="Per cent 2" xfId="3881" xr:uid="{2123FCAC-A0E0-F740-98F7-0C1FB8A5013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plots'!$C$3:$C$10</c:f>
              <c:numCache>
                <c:formatCode>General</c:formatCode>
                <c:ptCount val="8"/>
                <c:pt idx="0">
                  <c:v>0</c:v>
                </c:pt>
                <c:pt idx="1">
                  <c:v>891.02911400000005</c:v>
                </c:pt>
                <c:pt idx="2">
                  <c:v>2252.1469729999999</c:v>
                </c:pt>
                <c:pt idx="3">
                  <c:v>2980.695068</c:v>
                </c:pt>
                <c:pt idx="4">
                  <c:v>3301.920654</c:v>
                </c:pt>
                <c:pt idx="5">
                  <c:v>2280.0004880000001</c:v>
                </c:pt>
                <c:pt idx="6">
                  <c:v>1189.2631839999999</c:v>
                </c:pt>
                <c:pt idx="7">
                  <c:v>320.14871199999999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F-984F-9ADE-2F6330F43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889279"/>
        <c:axId val="2070892559"/>
      </c:scatterChart>
      <c:valAx>
        <c:axId val="207088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92559"/>
        <c:crosses val="autoZero"/>
        <c:crossBetween val="midCat"/>
      </c:valAx>
      <c:valAx>
        <c:axId val="20708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8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plots'!$C$14:$C$21</c:f>
              <c:numCache>
                <c:formatCode>General</c:formatCode>
                <c:ptCount val="8"/>
                <c:pt idx="0">
                  <c:v>0</c:v>
                </c:pt>
                <c:pt idx="1">
                  <c:v>882.53283699999997</c:v>
                </c:pt>
                <c:pt idx="2">
                  <c:v>2173.6633299999999</c:v>
                </c:pt>
                <c:pt idx="3">
                  <c:v>2884.4816890000002</c:v>
                </c:pt>
                <c:pt idx="4">
                  <c:v>3084.5634770000001</c:v>
                </c:pt>
                <c:pt idx="5">
                  <c:v>2149.8203119999998</c:v>
                </c:pt>
                <c:pt idx="6">
                  <c:v>1112.789673</c:v>
                </c:pt>
                <c:pt idx="7">
                  <c:v>325.01315299999999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2-C043-A102-EB88D1EA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69184"/>
        <c:axId val="359862528"/>
      </c:scatterChart>
      <c:valAx>
        <c:axId val="3598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62528"/>
        <c:crosses val="autoZero"/>
        <c:crossBetween val="midCat"/>
      </c:valAx>
      <c:valAx>
        <c:axId val="3598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86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plots'!$C$25:$C$32</c:f>
              <c:numCache>
                <c:formatCode>General</c:formatCode>
                <c:ptCount val="8"/>
                <c:pt idx="0">
                  <c:v>0</c:v>
                </c:pt>
                <c:pt idx="1">
                  <c:v>926.58233600000005</c:v>
                </c:pt>
                <c:pt idx="2">
                  <c:v>2206.0683589999999</c:v>
                </c:pt>
                <c:pt idx="3">
                  <c:v>2892.7143550000001</c:v>
                </c:pt>
                <c:pt idx="4">
                  <c:v>3149.2272950000001</c:v>
                </c:pt>
                <c:pt idx="5">
                  <c:v>2170.7844239999999</c:v>
                </c:pt>
                <c:pt idx="6">
                  <c:v>1116.8781739999999</c:v>
                </c:pt>
                <c:pt idx="7">
                  <c:v>334.98629799999998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F-7E4F-9234-EFBAF2063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051888"/>
        <c:axId val="360096080"/>
      </c:scatterChart>
      <c:valAx>
        <c:axId val="36005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96080"/>
        <c:crosses val="autoZero"/>
        <c:crossBetween val="midCat"/>
      </c:valAx>
      <c:valAx>
        <c:axId val="36009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5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plots'!$C$36:$C$43</c:f>
              <c:numCache>
                <c:formatCode>General</c:formatCode>
                <c:ptCount val="8"/>
                <c:pt idx="0">
                  <c:v>0</c:v>
                </c:pt>
                <c:pt idx="1">
                  <c:v>712.26886000000002</c:v>
                </c:pt>
                <c:pt idx="2">
                  <c:v>1294.163452</c:v>
                </c:pt>
                <c:pt idx="3">
                  <c:v>1471.6529539999999</c:v>
                </c:pt>
                <c:pt idx="4">
                  <c:v>785.73089600000003</c:v>
                </c:pt>
                <c:pt idx="5">
                  <c:v>-139.60995500000001</c:v>
                </c:pt>
                <c:pt idx="6">
                  <c:v>-568.55224599999997</c:v>
                </c:pt>
                <c:pt idx="7">
                  <c:v>-815.90869099999998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6-364E-8B43-1D258E23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198336"/>
        <c:axId val="360199968"/>
      </c:scatterChart>
      <c:valAx>
        <c:axId val="36019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99968"/>
        <c:crosses val="autoZero"/>
        <c:crossBetween val="midCat"/>
      </c:valAx>
      <c:valAx>
        <c:axId val="36019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9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plots'!$C$47:$C$54</c:f>
              <c:numCache>
                <c:formatCode>General</c:formatCode>
                <c:ptCount val="8"/>
                <c:pt idx="0">
                  <c:v>0</c:v>
                </c:pt>
                <c:pt idx="1">
                  <c:v>796.09027100000003</c:v>
                </c:pt>
                <c:pt idx="2">
                  <c:v>1807.2978519999999</c:v>
                </c:pt>
                <c:pt idx="3">
                  <c:v>2373.1359859999998</c:v>
                </c:pt>
                <c:pt idx="4">
                  <c:v>2523.7885740000002</c:v>
                </c:pt>
                <c:pt idx="5">
                  <c:v>1693.907471</c:v>
                </c:pt>
                <c:pt idx="6">
                  <c:v>794.68078600000001</c:v>
                </c:pt>
                <c:pt idx="7">
                  <c:v>177.28486599999999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AF-2940-93B5-C4E3228A3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52352"/>
        <c:axId val="2064452159"/>
      </c:scatterChart>
      <c:valAx>
        <c:axId val="34105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52159"/>
        <c:crosses val="autoZero"/>
        <c:crossBetween val="midCat"/>
      </c:valAx>
      <c:valAx>
        <c:axId val="206445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5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plots'!$C$58:$C$65</c:f>
              <c:numCache>
                <c:formatCode>General</c:formatCode>
                <c:ptCount val="8"/>
                <c:pt idx="0">
                  <c:v>0</c:v>
                </c:pt>
                <c:pt idx="1">
                  <c:v>667.74487299999998</c:v>
                </c:pt>
                <c:pt idx="2">
                  <c:v>1418.9293210000001</c:v>
                </c:pt>
                <c:pt idx="3">
                  <c:v>1653.1220699999999</c:v>
                </c:pt>
                <c:pt idx="4">
                  <c:v>957.87445100000002</c:v>
                </c:pt>
                <c:pt idx="5">
                  <c:v>-41.089354999999998</c:v>
                </c:pt>
                <c:pt idx="6">
                  <c:v>-481.07003800000001</c:v>
                </c:pt>
                <c:pt idx="7">
                  <c:v>-749.55304000000001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C3-994E-A08F-3E95F238C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361424"/>
        <c:axId val="360363056"/>
      </c:scatterChart>
      <c:valAx>
        <c:axId val="36036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63056"/>
        <c:crosses val="autoZero"/>
        <c:crossBetween val="midCat"/>
      </c:valAx>
      <c:valAx>
        <c:axId val="3603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plots'!$C$69:$C$76</c:f>
              <c:numCache>
                <c:formatCode>General</c:formatCode>
                <c:ptCount val="8"/>
                <c:pt idx="0">
                  <c:v>0</c:v>
                </c:pt>
                <c:pt idx="1">
                  <c:v>563.72546399999999</c:v>
                </c:pt>
                <c:pt idx="2">
                  <c:v>1445.5253909999999</c:v>
                </c:pt>
                <c:pt idx="3">
                  <c:v>1934.530518</c:v>
                </c:pt>
                <c:pt idx="4">
                  <c:v>2051.720703</c:v>
                </c:pt>
                <c:pt idx="5">
                  <c:v>1338.232422</c:v>
                </c:pt>
                <c:pt idx="6">
                  <c:v>646.18029799999999</c:v>
                </c:pt>
                <c:pt idx="7">
                  <c:v>122.000168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1-F645-9457-744BE33A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707839"/>
        <c:axId val="2071709471"/>
      </c:scatterChart>
      <c:valAx>
        <c:axId val="207170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09471"/>
        <c:crosses val="autoZero"/>
        <c:crossBetween val="midCat"/>
      </c:valAx>
      <c:valAx>
        <c:axId val="2071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0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plots'!$C$80:$C$87</c:f>
              <c:numCache>
                <c:formatCode>General</c:formatCode>
                <c:ptCount val="8"/>
                <c:pt idx="0">
                  <c:v>0</c:v>
                </c:pt>
                <c:pt idx="1">
                  <c:v>592.988831</c:v>
                </c:pt>
                <c:pt idx="2">
                  <c:v>1711.2398679999999</c:v>
                </c:pt>
                <c:pt idx="3">
                  <c:v>2319.0771479999999</c:v>
                </c:pt>
                <c:pt idx="4">
                  <c:v>2538.5986330000001</c:v>
                </c:pt>
                <c:pt idx="5">
                  <c:v>1731.766846</c:v>
                </c:pt>
                <c:pt idx="6">
                  <c:v>821.36511199999995</c:v>
                </c:pt>
                <c:pt idx="7">
                  <c:v>142.479614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19-BA4F-B703-52690B60D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444223"/>
        <c:axId val="2068374559"/>
      </c:scatterChart>
      <c:valAx>
        <c:axId val="206444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74559"/>
        <c:crosses val="autoZero"/>
        <c:crossBetween val="midCat"/>
      </c:valAx>
      <c:valAx>
        <c:axId val="206837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44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plots'!$C$91:$C$98</c:f>
              <c:numCache>
                <c:formatCode>General</c:formatCode>
                <c:ptCount val="8"/>
                <c:pt idx="0">
                  <c:v>0</c:v>
                </c:pt>
                <c:pt idx="1">
                  <c:v>783.45465100000001</c:v>
                </c:pt>
                <c:pt idx="2">
                  <c:v>1920.3408199999999</c:v>
                </c:pt>
                <c:pt idx="3">
                  <c:v>2584.0134280000002</c:v>
                </c:pt>
                <c:pt idx="4">
                  <c:v>2797.4953609999998</c:v>
                </c:pt>
                <c:pt idx="5">
                  <c:v>1913.4670410000001</c:v>
                </c:pt>
                <c:pt idx="6">
                  <c:v>951.46563700000002</c:v>
                </c:pt>
                <c:pt idx="7">
                  <c:v>197.551132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00-5E40-8F3B-A0B74F6E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319152"/>
        <c:axId val="2067906575"/>
      </c:scatterChart>
      <c:valAx>
        <c:axId val="35331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06575"/>
        <c:crosses val="autoZero"/>
        <c:crossBetween val="midCat"/>
      </c:valAx>
      <c:valAx>
        <c:axId val="20679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1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plots'!$C$102:$C$109</c:f>
              <c:numCache>
                <c:formatCode>General</c:formatCode>
                <c:ptCount val="8"/>
                <c:pt idx="0">
                  <c:v>0</c:v>
                </c:pt>
                <c:pt idx="1">
                  <c:v>909.74578899999995</c:v>
                </c:pt>
                <c:pt idx="2">
                  <c:v>2167.6672359999998</c:v>
                </c:pt>
                <c:pt idx="3">
                  <c:v>2813.8764649999998</c:v>
                </c:pt>
                <c:pt idx="4">
                  <c:v>3043.2138669999999</c:v>
                </c:pt>
                <c:pt idx="5">
                  <c:v>2023.4764399999999</c:v>
                </c:pt>
                <c:pt idx="6">
                  <c:v>1016.198364</c:v>
                </c:pt>
                <c:pt idx="7">
                  <c:v>275.86209100000002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BA-4F43-96C4-5CEB96EE2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18704"/>
        <c:axId val="196615328"/>
      </c:scatterChart>
      <c:valAx>
        <c:axId val="19661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5328"/>
        <c:crosses val="autoZero"/>
        <c:crossBetween val="midCat"/>
      </c:valAx>
      <c:valAx>
        <c:axId val="1966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plots'!$C$113:$C$120</c:f>
              <c:numCache>
                <c:formatCode>General</c:formatCode>
                <c:ptCount val="8"/>
                <c:pt idx="0">
                  <c:v>0</c:v>
                </c:pt>
                <c:pt idx="1">
                  <c:v>935.93511999999998</c:v>
                </c:pt>
                <c:pt idx="2">
                  <c:v>2336.4289549999999</c:v>
                </c:pt>
                <c:pt idx="3">
                  <c:v>3096.766846</c:v>
                </c:pt>
                <c:pt idx="4">
                  <c:v>3359.8439939999998</c:v>
                </c:pt>
                <c:pt idx="5">
                  <c:v>2372.3764649999998</c:v>
                </c:pt>
                <c:pt idx="6">
                  <c:v>1242.138794</c:v>
                </c:pt>
                <c:pt idx="7">
                  <c:v>343.03744499999999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BB-FC45-AB90-BB9CD4901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0720"/>
        <c:axId val="184952352"/>
      </c:scatterChart>
      <c:valAx>
        <c:axId val="1849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2352"/>
        <c:crosses val="autoZero"/>
        <c:crossBetween val="midCat"/>
      </c:valAx>
      <c:valAx>
        <c:axId val="1849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plots'!$C$125:$C$132</c:f>
              <c:numCache>
                <c:formatCode>General</c:formatCode>
                <c:ptCount val="8"/>
                <c:pt idx="0">
                  <c:v>0</c:v>
                </c:pt>
                <c:pt idx="1">
                  <c:v>764.09210199999995</c:v>
                </c:pt>
                <c:pt idx="2">
                  <c:v>2077.60376</c:v>
                </c:pt>
                <c:pt idx="3">
                  <c:v>2725.5686040000001</c:v>
                </c:pt>
                <c:pt idx="4">
                  <c:v>2909.4147950000001</c:v>
                </c:pt>
                <c:pt idx="5">
                  <c:v>2035.120361</c:v>
                </c:pt>
                <c:pt idx="6">
                  <c:v>1046.9602050000001</c:v>
                </c:pt>
                <c:pt idx="7">
                  <c:v>254.77873199999999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7-7943-AD04-7F460C164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891392"/>
        <c:axId val="235893024"/>
      </c:scatterChart>
      <c:valAx>
        <c:axId val="23589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3024"/>
        <c:crosses val="autoZero"/>
        <c:crossBetween val="midCat"/>
      </c:valAx>
      <c:valAx>
        <c:axId val="2358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9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plots'!$M$36:$M$43</c:f>
              <c:numCache>
                <c:formatCode>General</c:formatCode>
                <c:ptCount val="8"/>
                <c:pt idx="0">
                  <c:v>0</c:v>
                </c:pt>
                <c:pt idx="1">
                  <c:v>769.58239700000001</c:v>
                </c:pt>
                <c:pt idx="2">
                  <c:v>1783.5126949999999</c:v>
                </c:pt>
                <c:pt idx="3">
                  <c:v>2334.7033689999998</c:v>
                </c:pt>
                <c:pt idx="4">
                  <c:v>2520.748047</c:v>
                </c:pt>
                <c:pt idx="5">
                  <c:v>1728.0187989999999</c:v>
                </c:pt>
                <c:pt idx="6">
                  <c:v>842.18554700000004</c:v>
                </c:pt>
                <c:pt idx="7">
                  <c:v>221.17746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DA-F94D-A142-CA249E211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67328"/>
        <c:axId val="196768960"/>
      </c:scatterChart>
      <c:valAx>
        <c:axId val="19676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68960"/>
        <c:crosses val="autoZero"/>
        <c:crossBetween val="midCat"/>
      </c:valAx>
      <c:valAx>
        <c:axId val="1967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6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'piv global plots'!$M$58:$M$65</c:f>
              <c:numCache>
                <c:formatCode>General</c:formatCode>
                <c:ptCount val="8"/>
                <c:pt idx="0">
                  <c:v>0</c:v>
                </c:pt>
                <c:pt idx="1">
                  <c:v>747.59527600000001</c:v>
                </c:pt>
                <c:pt idx="2">
                  <c:v>1924.397217</c:v>
                </c:pt>
                <c:pt idx="3">
                  <c:v>2626.6201169999999</c:v>
                </c:pt>
                <c:pt idx="4">
                  <c:v>2844.5900879999999</c:v>
                </c:pt>
                <c:pt idx="5">
                  <c:v>1979.8596190000001</c:v>
                </c:pt>
                <c:pt idx="6">
                  <c:v>1035.623779</c:v>
                </c:pt>
                <c:pt idx="7">
                  <c:v>211.846237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49-A548-81BB-BA1A20189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70400"/>
        <c:axId val="185972544"/>
      </c:scatterChart>
      <c:valAx>
        <c:axId val="1859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2544"/>
        <c:crosses val="autoZero"/>
        <c:crossBetween val="midCat"/>
      </c:valAx>
      <c:valAx>
        <c:axId val="18597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'check size L R1-R4'!$Y$3</c:f>
              <c:strCache>
                <c:ptCount val="1"/>
                <c:pt idx="0">
                  <c:v>% difference (1hr - 0hr)/0hr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strRef>
              <c:f>'check size L R1-R4'!$Z$2:$CG$2</c:f>
              <c:strCache>
                <c:ptCount val="60"/>
                <c:pt idx="0">
                  <c:v>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L</c:v>
                </c:pt>
                <c:pt idx="6">
                  <c:v>R1</c:v>
                </c:pt>
                <c:pt idx="7">
                  <c:v>R2</c:v>
                </c:pt>
                <c:pt idx="8">
                  <c:v>R3</c:v>
                </c:pt>
                <c:pt idx="9">
                  <c:v>R4</c:v>
                </c:pt>
                <c:pt idx="10">
                  <c:v>L</c:v>
                </c:pt>
                <c:pt idx="11">
                  <c:v>R1</c:v>
                </c:pt>
                <c:pt idx="12">
                  <c:v>R2</c:v>
                </c:pt>
                <c:pt idx="13">
                  <c:v>R3</c:v>
                </c:pt>
                <c:pt idx="14">
                  <c:v>R4</c:v>
                </c:pt>
                <c:pt idx="15">
                  <c:v>L</c:v>
                </c:pt>
                <c:pt idx="16">
                  <c:v>R1</c:v>
                </c:pt>
                <c:pt idx="17">
                  <c:v>R2</c:v>
                </c:pt>
                <c:pt idx="18">
                  <c:v>R3</c:v>
                </c:pt>
                <c:pt idx="19">
                  <c:v>R4</c:v>
                </c:pt>
                <c:pt idx="20">
                  <c:v>L</c:v>
                </c:pt>
                <c:pt idx="21">
                  <c:v>R1</c:v>
                </c:pt>
                <c:pt idx="22">
                  <c:v>R2</c:v>
                </c:pt>
                <c:pt idx="23">
                  <c:v>R3</c:v>
                </c:pt>
                <c:pt idx="24">
                  <c:v>R4</c:v>
                </c:pt>
                <c:pt idx="25">
                  <c:v>L</c:v>
                </c:pt>
                <c:pt idx="26">
                  <c:v>R1</c:v>
                </c:pt>
                <c:pt idx="27">
                  <c:v>R2</c:v>
                </c:pt>
                <c:pt idx="28">
                  <c:v>R3</c:v>
                </c:pt>
                <c:pt idx="29">
                  <c:v>R4</c:v>
                </c:pt>
                <c:pt idx="30">
                  <c:v>L</c:v>
                </c:pt>
                <c:pt idx="31">
                  <c:v>R1</c:v>
                </c:pt>
                <c:pt idx="32">
                  <c:v>R2</c:v>
                </c:pt>
                <c:pt idx="33">
                  <c:v>R3</c:v>
                </c:pt>
                <c:pt idx="34">
                  <c:v>R4</c:v>
                </c:pt>
                <c:pt idx="35">
                  <c:v>L</c:v>
                </c:pt>
                <c:pt idx="36">
                  <c:v>R1</c:v>
                </c:pt>
                <c:pt idx="37">
                  <c:v>R2</c:v>
                </c:pt>
                <c:pt idx="38">
                  <c:v>R3</c:v>
                </c:pt>
                <c:pt idx="39">
                  <c:v>R4</c:v>
                </c:pt>
                <c:pt idx="40">
                  <c:v>L</c:v>
                </c:pt>
                <c:pt idx="41">
                  <c:v>R1</c:v>
                </c:pt>
                <c:pt idx="42">
                  <c:v>R2</c:v>
                </c:pt>
                <c:pt idx="43">
                  <c:v>R3</c:v>
                </c:pt>
                <c:pt idx="44">
                  <c:v>R4</c:v>
                </c:pt>
                <c:pt idx="45">
                  <c:v>L</c:v>
                </c:pt>
                <c:pt idx="46">
                  <c:v>R1</c:v>
                </c:pt>
                <c:pt idx="47">
                  <c:v>R2</c:v>
                </c:pt>
                <c:pt idx="48">
                  <c:v>R3</c:v>
                </c:pt>
                <c:pt idx="49">
                  <c:v>R4</c:v>
                </c:pt>
                <c:pt idx="50">
                  <c:v>L</c:v>
                </c:pt>
                <c:pt idx="51">
                  <c:v>R1</c:v>
                </c:pt>
                <c:pt idx="52">
                  <c:v>R2</c:v>
                </c:pt>
                <c:pt idx="53">
                  <c:v>R3</c:v>
                </c:pt>
                <c:pt idx="54">
                  <c:v>R4</c:v>
                </c:pt>
                <c:pt idx="55">
                  <c:v>L</c:v>
                </c:pt>
                <c:pt idx="56">
                  <c:v>R1</c:v>
                </c:pt>
                <c:pt idx="57">
                  <c:v>R2</c:v>
                </c:pt>
                <c:pt idx="58">
                  <c:v>R3</c:v>
                </c:pt>
                <c:pt idx="59">
                  <c:v>R4</c:v>
                </c:pt>
              </c:strCache>
            </c:strRef>
          </c:xVal>
          <c:yVal>
            <c:numRef>
              <c:f>'check size L R1-R4'!$Z$3:$CG$3</c:f>
              <c:numCache>
                <c:formatCode>General</c:formatCode>
                <c:ptCount val="60"/>
                <c:pt idx="0">
                  <c:v>4.0405415561573985</c:v>
                </c:pt>
                <c:pt idx="1">
                  <c:v>2.4834693315877288</c:v>
                </c:pt>
                <c:pt idx="2">
                  <c:v>21.074569718403396</c:v>
                </c:pt>
                <c:pt idx="3">
                  <c:v>7.5211038793989298</c:v>
                </c:pt>
                <c:pt idx="4">
                  <c:v>50.47756513981917</c:v>
                </c:pt>
                <c:pt idx="5">
                  <c:v>3.6106230570545321</c:v>
                </c:pt>
                <c:pt idx="6">
                  <c:v>7.0240243800458755</c:v>
                </c:pt>
                <c:pt idx="7">
                  <c:v>10.661773433684012</c:v>
                </c:pt>
                <c:pt idx="8">
                  <c:v>8.9553928735916752</c:v>
                </c:pt>
                <c:pt idx="9">
                  <c:v>0.53914422483138147</c:v>
                </c:pt>
                <c:pt idx="10">
                  <c:v>3.796059705041599</c:v>
                </c:pt>
                <c:pt idx="11">
                  <c:v>12.95282547315724</c:v>
                </c:pt>
                <c:pt idx="12">
                  <c:v>80.712963431857432</c:v>
                </c:pt>
                <c:pt idx="13">
                  <c:v>11.397371302406686</c:v>
                </c:pt>
                <c:pt idx="14">
                  <c:v>41.32438759081532</c:v>
                </c:pt>
                <c:pt idx="15">
                  <c:v>2.218007881435379</c:v>
                </c:pt>
                <c:pt idx="16">
                  <c:v>5.3646540742671167</c:v>
                </c:pt>
                <c:pt idx="17">
                  <c:v>15.037860645644587</c:v>
                </c:pt>
                <c:pt idx="18">
                  <c:v>14.050787170116775</c:v>
                </c:pt>
                <c:pt idx="19">
                  <c:v>28.243206965210373</c:v>
                </c:pt>
                <c:pt idx="20">
                  <c:v>2.9889654357375894</c:v>
                </c:pt>
                <c:pt idx="21">
                  <c:v>0.72053447004392202</c:v>
                </c:pt>
                <c:pt idx="22">
                  <c:v>27.891694617122845</c:v>
                </c:pt>
                <c:pt idx="23">
                  <c:v>8.8797378843444505</c:v>
                </c:pt>
                <c:pt idx="24">
                  <c:v>26.521294182476584</c:v>
                </c:pt>
                <c:pt idx="25">
                  <c:v>1.0047342893087117</c:v>
                </c:pt>
                <c:pt idx="26">
                  <c:v>18.720335047731847</c:v>
                </c:pt>
                <c:pt idx="27">
                  <c:v>81.751687166782403</c:v>
                </c:pt>
                <c:pt idx="28">
                  <c:v>14.319946286010483</c:v>
                </c:pt>
                <c:pt idx="29">
                  <c:v>43.709871344050171</c:v>
                </c:pt>
                <c:pt idx="30">
                  <c:v>3.6422410517928947</c:v>
                </c:pt>
                <c:pt idx="31">
                  <c:v>1.3486008117791215</c:v>
                </c:pt>
                <c:pt idx="32">
                  <c:v>16.149192449539456</c:v>
                </c:pt>
                <c:pt idx="33">
                  <c:v>11.938963294729785</c:v>
                </c:pt>
                <c:pt idx="34">
                  <c:v>3.1603729857822094</c:v>
                </c:pt>
                <c:pt idx="35">
                  <c:v>2.4017280210922181</c:v>
                </c:pt>
                <c:pt idx="36">
                  <c:v>1.4195358978199279</c:v>
                </c:pt>
                <c:pt idx="37">
                  <c:v>25.606884645311894</c:v>
                </c:pt>
                <c:pt idx="38">
                  <c:v>10.884046903263016</c:v>
                </c:pt>
                <c:pt idx="39">
                  <c:v>14.772479992262872</c:v>
                </c:pt>
                <c:pt idx="40">
                  <c:v>12.478526482269222</c:v>
                </c:pt>
                <c:pt idx="41">
                  <c:v>8.187862938197231</c:v>
                </c:pt>
                <c:pt idx="42">
                  <c:v>7.8465448674422857</c:v>
                </c:pt>
                <c:pt idx="43">
                  <c:v>8.0319879174887774</c:v>
                </c:pt>
                <c:pt idx="44">
                  <c:v>42.670016436109393</c:v>
                </c:pt>
                <c:pt idx="45">
                  <c:v>0.83043512042312395</c:v>
                </c:pt>
                <c:pt idx="46">
                  <c:v>19.134831361377806</c:v>
                </c:pt>
                <c:pt idx="47">
                  <c:v>5.3847137424730978</c:v>
                </c:pt>
                <c:pt idx="48">
                  <c:v>33.369045374574419</c:v>
                </c:pt>
                <c:pt idx="49">
                  <c:v>19.844417326126589</c:v>
                </c:pt>
                <c:pt idx="50">
                  <c:v>1.8268998378880057</c:v>
                </c:pt>
                <c:pt idx="51">
                  <c:v>2.549431287364591</c:v>
                </c:pt>
                <c:pt idx="52">
                  <c:v>11.640297941512742</c:v>
                </c:pt>
                <c:pt idx="53">
                  <c:v>0.29554387252926884</c:v>
                </c:pt>
                <c:pt idx="54">
                  <c:v>6.4882736960900242</c:v>
                </c:pt>
                <c:pt idx="55">
                  <c:v>1.213240367191003</c:v>
                </c:pt>
                <c:pt idx="56">
                  <c:v>27.154469923076832</c:v>
                </c:pt>
                <c:pt idx="57">
                  <c:v>42.747659328887757</c:v>
                </c:pt>
                <c:pt idx="58">
                  <c:v>3.5798795524873315</c:v>
                </c:pt>
                <c:pt idx="59">
                  <c:v>35.971264480677256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C3-4B47-A943-C0D579BEAAFE}"/>
            </c:ext>
          </c:extLst>
        </c:ser>
        <c:ser>
          <c:idx val="1"/>
          <c:order val="1"/>
          <c:tx>
            <c:strRef>
              <c:f>'check size L R1-R4'!$Y$4</c:f>
              <c:strCache>
                <c:ptCount val="1"/>
                <c:pt idx="0">
                  <c:v>% difference (2hr - 0hr)/0hr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strRef>
              <c:f>'check size L R1-R4'!$Z$2:$CG$2</c:f>
              <c:strCache>
                <c:ptCount val="60"/>
                <c:pt idx="0">
                  <c:v>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L</c:v>
                </c:pt>
                <c:pt idx="6">
                  <c:v>R1</c:v>
                </c:pt>
                <c:pt idx="7">
                  <c:v>R2</c:v>
                </c:pt>
                <c:pt idx="8">
                  <c:v>R3</c:v>
                </c:pt>
                <c:pt idx="9">
                  <c:v>R4</c:v>
                </c:pt>
                <c:pt idx="10">
                  <c:v>L</c:v>
                </c:pt>
                <c:pt idx="11">
                  <c:v>R1</c:v>
                </c:pt>
                <c:pt idx="12">
                  <c:v>R2</c:v>
                </c:pt>
                <c:pt idx="13">
                  <c:v>R3</c:v>
                </c:pt>
                <c:pt idx="14">
                  <c:v>R4</c:v>
                </c:pt>
                <c:pt idx="15">
                  <c:v>L</c:v>
                </c:pt>
                <c:pt idx="16">
                  <c:v>R1</c:v>
                </c:pt>
                <c:pt idx="17">
                  <c:v>R2</c:v>
                </c:pt>
                <c:pt idx="18">
                  <c:v>R3</c:v>
                </c:pt>
                <c:pt idx="19">
                  <c:v>R4</c:v>
                </c:pt>
                <c:pt idx="20">
                  <c:v>L</c:v>
                </c:pt>
                <c:pt idx="21">
                  <c:v>R1</c:v>
                </c:pt>
                <c:pt idx="22">
                  <c:v>R2</c:v>
                </c:pt>
                <c:pt idx="23">
                  <c:v>R3</c:v>
                </c:pt>
                <c:pt idx="24">
                  <c:v>R4</c:v>
                </c:pt>
                <c:pt idx="25">
                  <c:v>L</c:v>
                </c:pt>
                <c:pt idx="26">
                  <c:v>R1</c:v>
                </c:pt>
                <c:pt idx="27">
                  <c:v>R2</c:v>
                </c:pt>
                <c:pt idx="28">
                  <c:v>R3</c:v>
                </c:pt>
                <c:pt idx="29">
                  <c:v>R4</c:v>
                </c:pt>
                <c:pt idx="30">
                  <c:v>L</c:v>
                </c:pt>
                <c:pt idx="31">
                  <c:v>R1</c:v>
                </c:pt>
                <c:pt idx="32">
                  <c:v>R2</c:v>
                </c:pt>
                <c:pt idx="33">
                  <c:v>R3</c:v>
                </c:pt>
                <c:pt idx="34">
                  <c:v>R4</c:v>
                </c:pt>
                <c:pt idx="35">
                  <c:v>L</c:v>
                </c:pt>
                <c:pt idx="36">
                  <c:v>R1</c:v>
                </c:pt>
                <c:pt idx="37">
                  <c:v>R2</c:v>
                </c:pt>
                <c:pt idx="38">
                  <c:v>R3</c:v>
                </c:pt>
                <c:pt idx="39">
                  <c:v>R4</c:v>
                </c:pt>
                <c:pt idx="40">
                  <c:v>L</c:v>
                </c:pt>
                <c:pt idx="41">
                  <c:v>R1</c:v>
                </c:pt>
                <c:pt idx="42">
                  <c:v>R2</c:v>
                </c:pt>
                <c:pt idx="43">
                  <c:v>R3</c:v>
                </c:pt>
                <c:pt idx="44">
                  <c:v>R4</c:v>
                </c:pt>
                <c:pt idx="45">
                  <c:v>L</c:v>
                </c:pt>
                <c:pt idx="46">
                  <c:v>R1</c:v>
                </c:pt>
                <c:pt idx="47">
                  <c:v>R2</c:v>
                </c:pt>
                <c:pt idx="48">
                  <c:v>R3</c:v>
                </c:pt>
                <c:pt idx="49">
                  <c:v>R4</c:v>
                </c:pt>
                <c:pt idx="50">
                  <c:v>L</c:v>
                </c:pt>
                <c:pt idx="51">
                  <c:v>R1</c:v>
                </c:pt>
                <c:pt idx="52">
                  <c:v>R2</c:v>
                </c:pt>
                <c:pt idx="53">
                  <c:v>R3</c:v>
                </c:pt>
                <c:pt idx="54">
                  <c:v>R4</c:v>
                </c:pt>
                <c:pt idx="55">
                  <c:v>L</c:v>
                </c:pt>
                <c:pt idx="56">
                  <c:v>R1</c:v>
                </c:pt>
                <c:pt idx="57">
                  <c:v>R2</c:v>
                </c:pt>
                <c:pt idx="58">
                  <c:v>R3</c:v>
                </c:pt>
                <c:pt idx="59">
                  <c:v>R4</c:v>
                </c:pt>
              </c:strCache>
            </c:strRef>
          </c:xVal>
          <c:yVal>
            <c:numRef>
              <c:f>'check size L R1-R4'!$Z$4:$CG$4</c:f>
              <c:numCache>
                <c:formatCode>General</c:formatCode>
                <c:ptCount val="60"/>
                <c:pt idx="0">
                  <c:v>3.0653148466809705</c:v>
                </c:pt>
                <c:pt idx="1">
                  <c:v>6.6300673432155817</c:v>
                </c:pt>
                <c:pt idx="2">
                  <c:v>25.998282557164476</c:v>
                </c:pt>
                <c:pt idx="3">
                  <c:v>7.3683665873321829</c:v>
                </c:pt>
                <c:pt idx="4">
                  <c:v>4.6484444430902085</c:v>
                </c:pt>
                <c:pt idx="5">
                  <c:v>2.7865542406124084</c:v>
                </c:pt>
                <c:pt idx="6">
                  <c:v>39.859063012759087</c:v>
                </c:pt>
                <c:pt idx="7">
                  <c:v>41.758736523193278</c:v>
                </c:pt>
                <c:pt idx="8">
                  <c:v>15.872495797478237</c:v>
                </c:pt>
                <c:pt idx="9">
                  <c:v>4.1408156350729657</c:v>
                </c:pt>
                <c:pt idx="10">
                  <c:v>1.9832444907303828</c:v>
                </c:pt>
                <c:pt idx="11">
                  <c:v>19.795989880479741</c:v>
                </c:pt>
                <c:pt idx="12">
                  <c:v>110.69857392475981</c:v>
                </c:pt>
                <c:pt idx="13">
                  <c:v>15.160864018217877</c:v>
                </c:pt>
                <c:pt idx="14">
                  <c:v>43.691442203385272</c:v>
                </c:pt>
                <c:pt idx="15">
                  <c:v>0.89104918818251422</c:v>
                </c:pt>
                <c:pt idx="16">
                  <c:v>6.9082728691653825</c:v>
                </c:pt>
                <c:pt idx="17">
                  <c:v>40.375762682770805</c:v>
                </c:pt>
                <c:pt idx="18">
                  <c:v>8.7359523213441115</c:v>
                </c:pt>
                <c:pt idx="19">
                  <c:v>9.9522928002642121</c:v>
                </c:pt>
                <c:pt idx="20">
                  <c:v>2.8072621571858196</c:v>
                </c:pt>
                <c:pt idx="21">
                  <c:v>8.6675476770678177</c:v>
                </c:pt>
                <c:pt idx="22">
                  <c:v>6.5633691066049042</c:v>
                </c:pt>
                <c:pt idx="23">
                  <c:v>11.168032822509845</c:v>
                </c:pt>
                <c:pt idx="24">
                  <c:v>80.938784576718305</c:v>
                </c:pt>
                <c:pt idx="25">
                  <c:v>4.6604550723431437</c:v>
                </c:pt>
                <c:pt idx="26">
                  <c:v>3.1678345165681265</c:v>
                </c:pt>
                <c:pt idx="27">
                  <c:v>22.276912030047011</c:v>
                </c:pt>
                <c:pt idx="28">
                  <c:v>18.415140161925844</c:v>
                </c:pt>
                <c:pt idx="29">
                  <c:v>57.757106126307029</c:v>
                </c:pt>
                <c:pt idx="30">
                  <c:v>2.1952510205516176</c:v>
                </c:pt>
                <c:pt idx="31">
                  <c:v>7.4636985789724593</c:v>
                </c:pt>
                <c:pt idx="32">
                  <c:v>37.071891526850784</c:v>
                </c:pt>
                <c:pt idx="33">
                  <c:v>20.315243735290132</c:v>
                </c:pt>
                <c:pt idx="34">
                  <c:v>25.368219106981936</c:v>
                </c:pt>
                <c:pt idx="35">
                  <c:v>0.37726463919479258</c:v>
                </c:pt>
                <c:pt idx="36">
                  <c:v>4.7927429688576897</c:v>
                </c:pt>
                <c:pt idx="37">
                  <c:v>34.564510400978612</c:v>
                </c:pt>
                <c:pt idx="38">
                  <c:v>3.1880115863562164</c:v>
                </c:pt>
                <c:pt idx="39">
                  <c:v>15.395245212780958</c:v>
                </c:pt>
                <c:pt idx="40">
                  <c:v>6.1119114521673312</c:v>
                </c:pt>
                <c:pt idx="41">
                  <c:v>4.7959563356942407</c:v>
                </c:pt>
                <c:pt idx="42">
                  <c:v>1.9859905307078005</c:v>
                </c:pt>
                <c:pt idx="43">
                  <c:v>7.51944710972165</c:v>
                </c:pt>
                <c:pt idx="44">
                  <c:v>1.7239802189634852</c:v>
                </c:pt>
                <c:pt idx="45">
                  <c:v>1.3779681502570444</c:v>
                </c:pt>
                <c:pt idx="46">
                  <c:v>22.800720495429719</c:v>
                </c:pt>
                <c:pt idx="47">
                  <c:v>38.762831551030366</c:v>
                </c:pt>
                <c:pt idx="48">
                  <c:v>37.91066231138884</c:v>
                </c:pt>
                <c:pt idx="49">
                  <c:v>1.9728454760651408</c:v>
                </c:pt>
                <c:pt idx="50">
                  <c:v>2.1165002459499238</c:v>
                </c:pt>
                <c:pt idx="51">
                  <c:v>8.0384952044062157</c:v>
                </c:pt>
                <c:pt idx="52">
                  <c:v>13.756287892033699</c:v>
                </c:pt>
                <c:pt idx="53">
                  <c:v>3.839766054488349</c:v>
                </c:pt>
                <c:pt idx="54">
                  <c:v>15.532947951167698</c:v>
                </c:pt>
                <c:pt idx="55">
                  <c:v>2.1719939266234127</c:v>
                </c:pt>
                <c:pt idx="56">
                  <c:v>8.9404318509767418</c:v>
                </c:pt>
                <c:pt idx="57">
                  <c:v>37.275216082015127</c:v>
                </c:pt>
                <c:pt idx="58">
                  <c:v>8.7260383679728193</c:v>
                </c:pt>
                <c:pt idx="59">
                  <c:v>10.236909730513847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C3-4B47-A943-C0D579BEAAFE}"/>
            </c:ext>
          </c:extLst>
        </c:ser>
        <c:ser>
          <c:idx val="2"/>
          <c:order val="2"/>
          <c:tx>
            <c:strRef>
              <c:f>'check size L R1-R4'!$Y$5</c:f>
              <c:strCache>
                <c:ptCount val="1"/>
                <c:pt idx="0">
                  <c:v>% difference (2hr - 1hr)/1hr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strRef>
              <c:f>'check size L R1-R4'!$Z$2:$CG$2</c:f>
              <c:strCache>
                <c:ptCount val="60"/>
                <c:pt idx="0">
                  <c:v>L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L</c:v>
                </c:pt>
                <c:pt idx="6">
                  <c:v>R1</c:v>
                </c:pt>
                <c:pt idx="7">
                  <c:v>R2</c:v>
                </c:pt>
                <c:pt idx="8">
                  <c:v>R3</c:v>
                </c:pt>
                <c:pt idx="9">
                  <c:v>R4</c:v>
                </c:pt>
                <c:pt idx="10">
                  <c:v>L</c:v>
                </c:pt>
                <c:pt idx="11">
                  <c:v>R1</c:v>
                </c:pt>
                <c:pt idx="12">
                  <c:v>R2</c:v>
                </c:pt>
                <c:pt idx="13">
                  <c:v>R3</c:v>
                </c:pt>
                <c:pt idx="14">
                  <c:v>R4</c:v>
                </c:pt>
                <c:pt idx="15">
                  <c:v>L</c:v>
                </c:pt>
                <c:pt idx="16">
                  <c:v>R1</c:v>
                </c:pt>
                <c:pt idx="17">
                  <c:v>R2</c:v>
                </c:pt>
                <c:pt idx="18">
                  <c:v>R3</c:v>
                </c:pt>
                <c:pt idx="19">
                  <c:v>R4</c:v>
                </c:pt>
                <c:pt idx="20">
                  <c:v>L</c:v>
                </c:pt>
                <c:pt idx="21">
                  <c:v>R1</c:v>
                </c:pt>
                <c:pt idx="22">
                  <c:v>R2</c:v>
                </c:pt>
                <c:pt idx="23">
                  <c:v>R3</c:v>
                </c:pt>
                <c:pt idx="24">
                  <c:v>R4</c:v>
                </c:pt>
                <c:pt idx="25">
                  <c:v>L</c:v>
                </c:pt>
                <c:pt idx="26">
                  <c:v>R1</c:v>
                </c:pt>
                <c:pt idx="27">
                  <c:v>R2</c:v>
                </c:pt>
                <c:pt idx="28">
                  <c:v>R3</c:v>
                </c:pt>
                <c:pt idx="29">
                  <c:v>R4</c:v>
                </c:pt>
                <c:pt idx="30">
                  <c:v>L</c:v>
                </c:pt>
                <c:pt idx="31">
                  <c:v>R1</c:v>
                </c:pt>
                <c:pt idx="32">
                  <c:v>R2</c:v>
                </c:pt>
                <c:pt idx="33">
                  <c:v>R3</c:v>
                </c:pt>
                <c:pt idx="34">
                  <c:v>R4</c:v>
                </c:pt>
                <c:pt idx="35">
                  <c:v>L</c:v>
                </c:pt>
                <c:pt idx="36">
                  <c:v>R1</c:v>
                </c:pt>
                <c:pt idx="37">
                  <c:v>R2</c:v>
                </c:pt>
                <c:pt idx="38">
                  <c:v>R3</c:v>
                </c:pt>
                <c:pt idx="39">
                  <c:v>R4</c:v>
                </c:pt>
                <c:pt idx="40">
                  <c:v>L</c:v>
                </c:pt>
                <c:pt idx="41">
                  <c:v>R1</c:v>
                </c:pt>
                <c:pt idx="42">
                  <c:v>R2</c:v>
                </c:pt>
                <c:pt idx="43">
                  <c:v>R3</c:v>
                </c:pt>
                <c:pt idx="44">
                  <c:v>R4</c:v>
                </c:pt>
                <c:pt idx="45">
                  <c:v>L</c:v>
                </c:pt>
                <c:pt idx="46">
                  <c:v>R1</c:v>
                </c:pt>
                <c:pt idx="47">
                  <c:v>R2</c:v>
                </c:pt>
                <c:pt idx="48">
                  <c:v>R3</c:v>
                </c:pt>
                <c:pt idx="49">
                  <c:v>R4</c:v>
                </c:pt>
                <c:pt idx="50">
                  <c:v>L</c:v>
                </c:pt>
                <c:pt idx="51">
                  <c:v>R1</c:v>
                </c:pt>
                <c:pt idx="52">
                  <c:v>R2</c:v>
                </c:pt>
                <c:pt idx="53">
                  <c:v>R3</c:v>
                </c:pt>
                <c:pt idx="54">
                  <c:v>R4</c:v>
                </c:pt>
                <c:pt idx="55">
                  <c:v>L</c:v>
                </c:pt>
                <c:pt idx="56">
                  <c:v>R1</c:v>
                </c:pt>
                <c:pt idx="57">
                  <c:v>R2</c:v>
                </c:pt>
                <c:pt idx="58">
                  <c:v>R3</c:v>
                </c:pt>
                <c:pt idx="59">
                  <c:v>R4</c:v>
                </c:pt>
              </c:strCache>
            </c:strRef>
          </c:xVal>
          <c:yVal>
            <c:numRef>
              <c:f>'check size L R1-R4'!$Z$5:$CG$5</c:f>
              <c:numCache>
                <c:formatCode>General</c:formatCode>
                <c:ptCount val="60"/>
                <c:pt idx="0">
                  <c:v>1.0162903431214652</c:v>
                </c:pt>
                <c:pt idx="1">
                  <c:v>4.2522000969534357</c:v>
                </c:pt>
                <c:pt idx="2">
                  <c:v>4.0666779574048508</c:v>
                </c:pt>
                <c:pt idx="3">
                  <c:v>16.100398135498786</c:v>
                </c:pt>
                <c:pt idx="4">
                  <c:v>36.634038789561728</c:v>
                </c:pt>
                <c:pt idx="5">
                  <c:v>0.79535166581166072</c:v>
                </c:pt>
                <c:pt idx="6">
                  <c:v>30.680063493141404</c:v>
                </c:pt>
                <c:pt idx="7">
                  <c:v>47.370025195097007</c:v>
                </c:pt>
                <c:pt idx="8">
                  <c:v>7.5974878053817125</c:v>
                </c:pt>
                <c:pt idx="9">
                  <c:v>4.7053283660492546</c:v>
                </c:pt>
                <c:pt idx="10">
                  <c:v>1.8843461180001349</c:v>
                </c:pt>
                <c:pt idx="11">
                  <c:v>7.8614434581242749</c:v>
                </c:pt>
                <c:pt idx="12">
                  <c:v>16.592949350979591</c:v>
                </c:pt>
                <c:pt idx="13">
                  <c:v>4.247608418770783</c:v>
                </c:pt>
                <c:pt idx="14">
                  <c:v>1.6749088058484378</c:v>
                </c:pt>
                <c:pt idx="15">
                  <c:v>1.3570583545116095</c:v>
                </c:pt>
                <c:pt idx="16">
                  <c:v>11.648049387398766</c:v>
                </c:pt>
                <c:pt idx="17">
                  <c:v>22.025706923719227</c:v>
                </c:pt>
                <c:pt idx="18">
                  <c:v>6.1836922919726582</c:v>
                </c:pt>
                <c:pt idx="19">
                  <c:v>14.262676829274939</c:v>
                </c:pt>
                <c:pt idx="20">
                  <c:v>0.18730166044297311</c:v>
                </c:pt>
                <c:pt idx="21">
                  <c:v>8.0046897559354857</c:v>
                </c:pt>
                <c:pt idx="22">
                  <c:v>16.676865197829965</c:v>
                </c:pt>
                <c:pt idx="23">
                  <c:v>2.5112909961353562</c:v>
                </c:pt>
                <c:pt idx="24">
                  <c:v>43.010538855030646</c:v>
                </c:pt>
                <c:pt idx="25">
                  <c:v>5.7226871618366957</c:v>
                </c:pt>
                <c:pt idx="26">
                  <c:v>19.134552954046988</c:v>
                </c:pt>
                <c:pt idx="27">
                  <c:v>32.723093834149132</c:v>
                </c:pt>
                <c:pt idx="28">
                  <c:v>4.7796350473654243</c:v>
                </c:pt>
                <c:pt idx="29">
                  <c:v>9.7747180836498906</c:v>
                </c:pt>
                <c:pt idx="30">
                  <c:v>1.3961392734823015</c:v>
                </c:pt>
                <c:pt idx="31">
                  <c:v>6.1986933966603992</c:v>
                </c:pt>
                <c:pt idx="32">
                  <c:v>18.013641452049796</c:v>
                </c:pt>
                <c:pt idx="33">
                  <c:v>9.511903054917191</c:v>
                </c:pt>
                <c:pt idx="34">
                  <c:v>21.527496923901644</c:v>
                </c:pt>
                <c:pt idx="35">
                  <c:v>2.0742819937784733</c:v>
                </c:pt>
                <c:pt idx="36">
                  <c:v>6.1253276419411753</c:v>
                </c:pt>
                <c:pt idx="37">
                  <c:v>7.1314767347038535</c:v>
                </c:pt>
                <c:pt idx="38">
                  <c:v>8.6359793611280953</c:v>
                </c:pt>
                <c:pt idx="39">
                  <c:v>26.284807304919717</c:v>
                </c:pt>
                <c:pt idx="40">
                  <c:v>7.2743462537934667</c:v>
                </c:pt>
                <c:pt idx="41">
                  <c:v>3.1352006688963181</c:v>
                </c:pt>
                <c:pt idx="42">
                  <c:v>5.4341604953018043</c:v>
                </c:pt>
                <c:pt idx="43">
                  <c:v>16.909613109021102</c:v>
                </c:pt>
                <c:pt idx="44">
                  <c:v>28.699818812653181</c:v>
                </c:pt>
                <c:pt idx="45">
                  <c:v>0.55211801170933672</c:v>
                </c:pt>
                <c:pt idx="46">
                  <c:v>35.200076566694641</c:v>
                </c:pt>
                <c:pt idx="47">
                  <c:v>46.660055726451297</c:v>
                </c:pt>
                <c:pt idx="48">
                  <c:v>3.4053006258379037</c:v>
                </c:pt>
                <c:pt idx="49">
                  <c:v>27.218644134818362</c:v>
                </c:pt>
                <c:pt idx="50">
                  <c:v>0.28440462051085935</c:v>
                </c:pt>
                <c:pt idx="51">
                  <c:v>5.3526029819318435</c:v>
                </c:pt>
                <c:pt idx="52">
                  <c:v>2.3947454566113597</c:v>
                </c:pt>
                <c:pt idx="53">
                  <c:v>3.5547279626377404</c:v>
                </c:pt>
                <c:pt idx="54">
                  <c:v>8.4935870787900392</c:v>
                </c:pt>
                <c:pt idx="55">
                  <c:v>3.4268097327995704</c:v>
                </c:pt>
                <c:pt idx="56">
                  <c:v>25.003645457540763</c:v>
                </c:pt>
                <c:pt idx="57">
                  <c:v>3.8336483222216842</c:v>
                </c:pt>
                <c:pt idx="58">
                  <c:v>5.3372250434875319</c:v>
                </c:pt>
                <c:pt idx="59">
                  <c:v>18.92631862213835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C3-4B47-A943-C0D579BEA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8301631"/>
        <c:axId val="2087862175"/>
      </c:scatterChart>
      <c:valAx>
        <c:axId val="20883016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out"/>
        <c:minorTickMark val="none"/>
        <c:tickLblPos val="nextTo"/>
        <c:crossAx val="2087862175"/>
        <c:crosses val="autoZero"/>
        <c:crossBetween val="midCat"/>
        <c:majorUnit val="1"/>
      </c:valAx>
      <c:valAx>
        <c:axId val="208786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difference (between</a:t>
                </a:r>
                <a:r>
                  <a:rPr lang="en-GB" baseline="0"/>
                  <a:t> fractions of whole lung)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30163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69850</xdr:rowOff>
    </xdr:from>
    <xdr:to>
      <xdr:col>9</xdr:col>
      <xdr:colOff>558800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A3F5F-68DB-6F4F-80C8-C488F07A5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11</xdr:row>
      <xdr:rowOff>57150</xdr:rowOff>
    </xdr:from>
    <xdr:to>
      <xdr:col>9</xdr:col>
      <xdr:colOff>533400</xdr:colOff>
      <xdr:row>21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1A15C-2566-0E4F-B2ED-C64102F7F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317500</xdr:colOff>
      <xdr:row>23</xdr:row>
      <xdr:rowOff>82550</xdr:rowOff>
    </xdr:from>
    <xdr:to>
      <xdr:col>9</xdr:col>
      <xdr:colOff>596900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FE034B-B320-DC4B-86C4-72478D81D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279400</xdr:colOff>
      <xdr:row>34</xdr:row>
      <xdr:rowOff>31750</xdr:rowOff>
    </xdr:from>
    <xdr:to>
      <xdr:col>9</xdr:col>
      <xdr:colOff>596900</xdr:colOff>
      <xdr:row>43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176F4B-443C-E24F-9E75-7C2BCB269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292100</xdr:colOff>
      <xdr:row>44</xdr:row>
      <xdr:rowOff>146050</xdr:rowOff>
    </xdr:from>
    <xdr:to>
      <xdr:col>9</xdr:col>
      <xdr:colOff>482600</xdr:colOff>
      <xdr:row>55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E1F17-9E90-4D43-8621-41F94415A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342900</xdr:colOff>
      <xdr:row>56</xdr:row>
      <xdr:rowOff>31750</xdr:rowOff>
    </xdr:from>
    <xdr:to>
      <xdr:col>9</xdr:col>
      <xdr:colOff>673100</xdr:colOff>
      <xdr:row>65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EA58EF-4D5A-ED4D-AFEE-E56846646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279400</xdr:colOff>
      <xdr:row>67</xdr:row>
      <xdr:rowOff>44450</xdr:rowOff>
    </xdr:from>
    <xdr:to>
      <xdr:col>9</xdr:col>
      <xdr:colOff>711200</xdr:colOff>
      <xdr:row>76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7C06CA-BDB8-CB4F-924D-5211713DE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330200</xdr:colOff>
      <xdr:row>77</xdr:row>
      <xdr:rowOff>184150</xdr:rowOff>
    </xdr:from>
    <xdr:to>
      <xdr:col>9</xdr:col>
      <xdr:colOff>647700</xdr:colOff>
      <xdr:row>87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2EBA40-52B1-064E-AA4E-E02BF94EB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330200</xdr:colOff>
      <xdr:row>89</xdr:row>
      <xdr:rowOff>82550</xdr:rowOff>
    </xdr:from>
    <xdr:to>
      <xdr:col>9</xdr:col>
      <xdr:colOff>673100</xdr:colOff>
      <xdr:row>99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BF26FF-B6AB-2E4B-8F69-F6DB03B9A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304800</xdr:colOff>
      <xdr:row>100</xdr:row>
      <xdr:rowOff>107950</xdr:rowOff>
    </xdr:from>
    <xdr:to>
      <xdr:col>9</xdr:col>
      <xdr:colOff>698500</xdr:colOff>
      <xdr:row>110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FA6A6D7-ABA8-F944-B989-399F04EDD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304800</xdr:colOff>
      <xdr:row>111</xdr:row>
      <xdr:rowOff>69850</xdr:rowOff>
    </xdr:from>
    <xdr:to>
      <xdr:col>9</xdr:col>
      <xdr:colOff>774700</xdr:colOff>
      <xdr:row>121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CC9177A-46D8-B24E-9005-9C6DE7A96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279400</xdr:colOff>
      <xdr:row>122</xdr:row>
      <xdr:rowOff>133350</xdr:rowOff>
    </xdr:from>
    <xdr:to>
      <xdr:col>9</xdr:col>
      <xdr:colOff>762000</xdr:colOff>
      <xdr:row>132</xdr:row>
      <xdr:rowOff>190500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73E770-01CF-3E49-941D-5A40B2FED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444500</xdr:colOff>
      <xdr:row>31</xdr:row>
      <xdr:rowOff>184150</xdr:rowOff>
    </xdr:from>
    <xdr:to>
      <xdr:col>20</xdr:col>
      <xdr:colOff>63500</xdr:colOff>
      <xdr:row>45</xdr:row>
      <xdr:rowOff>82550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669BD47-DD39-7B48-A0DC-8D949EBE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482600</xdr:colOff>
      <xdr:row>53</xdr:row>
      <xdr:rowOff>95250</xdr:rowOff>
    </xdr:from>
    <xdr:to>
      <xdr:col>20</xdr:col>
      <xdr:colOff>101600</xdr:colOff>
      <xdr:row>66</xdr:row>
      <xdr:rowOff>196850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AE4837-708A-724F-8733-F48F0BB1A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114300</xdr:colOff>
      <xdr:row>6</xdr:row>
      <xdr:rowOff>114300</xdr:rowOff>
    </xdr:from>
    <xdr:to>
      <xdr:col>35</xdr:col>
      <xdr:colOff>660400</xdr:colOff>
      <xdr:row>50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5D522F-FC62-034B-9224-AD43EEF2C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1041400</xdr:colOff>
      <xdr:row>45</xdr:row>
      <xdr:rowOff>38100</xdr:rowOff>
    </xdr:from>
    <xdr:to>
      <xdr:col>35</xdr:col>
      <xdr:colOff>254000</xdr:colOff>
      <xdr:row>45</xdr:row>
      <xdr:rowOff>63500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4F6744-76CD-DA40-BB68-4375115FD18C}"/>
            </a:ext>
          </a:extLst>
        </xdr:cNvPr>
        <xdr:cNvCxnSpPr/>
      </xdr:nvCxnSpPr>
      <xdr:spPr>
        <a:xfrm flipV="1">
          <a:off x="19342100" y="9512300"/>
          <a:ext cx="10147300" cy="25400"/>
        </a:xfrm>
        <a:prstGeom prst="line">
          <a:avLst/>
        </a:prstGeom>
        <a:ln>
          <a:solidFill>
            <a:srgbClr val="0070C0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1054100</xdr:colOff>
      <xdr:row>43</xdr:row>
      <xdr:rowOff>76200</xdr:rowOff>
    </xdr:from>
    <xdr:to>
      <xdr:col>35</xdr:col>
      <xdr:colOff>266700</xdr:colOff>
      <xdr:row>43</xdr:row>
      <xdr:rowOff>101600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6D8D05C-EF06-834A-9690-D89FA8EF8F79}"/>
            </a:ext>
          </a:extLst>
        </xdr:cNvPr>
        <xdr:cNvCxnSpPr/>
      </xdr:nvCxnSpPr>
      <xdr:spPr>
        <a:xfrm flipV="1">
          <a:off x="19354800" y="9144000"/>
          <a:ext cx="10147300" cy="25400"/>
        </a:xfrm>
        <a:prstGeom prst="line">
          <a:avLst/>
        </a:prstGeom>
        <a:ln>
          <a:solidFill>
            <a:srgbClr val="00B050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1054100</xdr:colOff>
      <xdr:row>44</xdr:row>
      <xdr:rowOff>101600</xdr:rowOff>
    </xdr:from>
    <xdr:to>
      <xdr:col>35</xdr:col>
      <xdr:colOff>266700</xdr:colOff>
      <xdr:row>44</xdr:row>
      <xdr:rowOff>127000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6F77E15-7DE3-4143-9D24-ECDD1E7956EC}"/>
            </a:ext>
          </a:extLst>
        </xdr:cNvPr>
        <xdr:cNvCxnSpPr/>
      </xdr:nvCxnSpPr>
      <xdr:spPr>
        <a:xfrm flipV="1">
          <a:off x="19354800" y="9372600"/>
          <a:ext cx="10147300" cy="25400"/>
        </a:xfrm>
        <a:prstGeom prst="line">
          <a:avLst/>
        </a:prstGeom>
        <a:ln>
          <a:solidFill>
            <a:srgbClr val="FF0000"/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406400</xdr:colOff>
      <xdr:row>42</xdr:row>
      <xdr:rowOff>76200</xdr:rowOff>
    </xdr:from>
    <xdr:to>
      <xdr:col>39</xdr:col>
      <xdr:colOff>0</xdr:colOff>
      <xdr:row>46</xdr:row>
      <xdr:rowOff>101600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5B9D07-45DA-FA4E-8E51-C5EF277A64FC}"/>
            </a:ext>
          </a:extLst>
        </xdr:cNvPr>
        <xdr:cNvSpPr txBox="1"/>
      </xdr:nvSpPr>
      <xdr:spPr>
        <a:xfrm>
          <a:off x="29641800" y="8940800"/>
          <a:ext cx="28956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00B050"/>
              </a:solidFill>
            </a:rPr>
            <a:t>AVE % diff 2hr-0hr - benchmark</a:t>
          </a:r>
        </a:p>
        <a:p>
          <a:r>
            <a:rPr lang="en-GB" sz="1600">
              <a:solidFill>
                <a:srgbClr val="FF0000"/>
              </a:solidFill>
            </a:rPr>
            <a:t>AVE % diff 1hr-0hr</a:t>
          </a:r>
        </a:p>
        <a:p>
          <a:r>
            <a:rPr lang="en-GB" sz="1600">
              <a:solidFill>
                <a:srgbClr val="0070C0"/>
              </a:solidFill>
            </a:rPr>
            <a:t>AVE % diff 2hr-1hr</a:t>
          </a:r>
        </a:p>
      </xdr:txBody>
    </xdr:sp>
    <xdr:clientData/>
  </xdr:twoCellAnchor>
  <xdr:twoCellAnchor>
    <xdr:from>
      <xdr:col>24</xdr:col>
      <xdr:colOff>1092200</xdr:colOff>
      <xdr:row>49</xdr:row>
      <xdr:rowOff>63500</xdr:rowOff>
    </xdr:from>
    <xdr:to>
      <xdr:col>35</xdr:col>
      <xdr:colOff>444500</xdr:colOff>
      <xdr:row>50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F6E2C-FF78-894C-A3C1-7E33170BFA42}"/>
            </a:ext>
          </a:extLst>
        </xdr:cNvPr>
        <xdr:cNvSpPr txBox="1"/>
      </xdr:nvSpPr>
      <xdr:spPr>
        <a:xfrm>
          <a:off x="19392900" y="10350500"/>
          <a:ext cx="102870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</a:t>
          </a:r>
          <a:r>
            <a:rPr lang="en-GB" sz="1130" baseline="0"/>
            <a:t> R2 R3 R4 </a:t>
          </a:r>
          <a:r>
            <a:rPr lang="en-GB" sz="1130"/>
            <a:t>L R1 </a:t>
          </a:r>
          <a:r>
            <a:rPr lang="en-GB" sz="1130" baseline="0"/>
            <a:t>R2 R3 R4 </a:t>
          </a:r>
          <a:r>
            <a:rPr lang="en-GB" sz="1130"/>
            <a:t>L R1</a:t>
          </a:r>
          <a:r>
            <a:rPr lang="en-GB" sz="1130" baseline="0"/>
            <a:t> R2 R3 R4</a:t>
          </a:r>
          <a:endParaRPr lang="en-GB" sz="113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68"/>
  <sheetViews>
    <sheetView tabSelected="1" workbookViewId="0">
      <pane xSplit="1" topLeftCell="CE1" activePane="topRight" state="frozen"/>
      <selection pane="topRight" activeCell="CV7" sqref="CV7"/>
    </sheetView>
  </sheetViews>
  <sheetFormatPr baseColWidth="10" defaultRowHeight="16"/>
  <cols>
    <col min="1" max="1" width="10" style="8" bestFit="1" customWidth="1"/>
    <col min="2" max="2" width="11" style="8" bestFit="1" customWidth="1"/>
    <col min="3" max="3" width="22.5" style="8" bestFit="1" customWidth="1"/>
    <col min="4" max="4" width="14.33203125" style="8" customWidth="1"/>
    <col min="5" max="5" width="5.1640625" style="8" customWidth="1"/>
    <col min="6" max="6" width="3.6640625" style="8" bestFit="1" customWidth="1"/>
    <col min="7" max="7" width="12.33203125" style="8" bestFit="1" customWidth="1"/>
    <col min="8" max="8" width="3.5" style="8" bestFit="1" customWidth="1"/>
    <col min="9" max="9" width="13.1640625" style="8" customWidth="1"/>
    <col min="10" max="10" width="7.6640625" style="8" customWidth="1"/>
    <col min="11" max="11" width="10.5" style="8" customWidth="1"/>
    <col min="12" max="12" width="5.83203125" style="8" customWidth="1"/>
    <col min="13" max="14" width="6.5" style="11" bestFit="1" customWidth="1"/>
    <col min="15" max="15" width="12.1640625" style="11" bestFit="1" customWidth="1"/>
    <col min="16" max="16" width="6.1640625" style="11" bestFit="1" customWidth="1"/>
    <col min="17" max="17" width="7.6640625" style="11" bestFit="1" customWidth="1"/>
    <col min="18" max="18" width="6.1640625" style="11" customWidth="1"/>
    <col min="19" max="19" width="9.6640625" style="8" customWidth="1"/>
    <col min="20" max="20" width="5.1640625" style="75" bestFit="1" customWidth="1"/>
    <col min="21" max="21" width="5.1640625" style="8" customWidth="1"/>
    <col min="22" max="22" width="5.1640625" style="8" bestFit="1" customWidth="1"/>
    <col min="23" max="23" width="5.5" style="8" bestFit="1" customWidth="1"/>
    <col min="24" max="26" width="5.1640625" style="8" bestFit="1" customWidth="1"/>
    <col min="27" max="27" width="4.1640625" style="8" bestFit="1" customWidth="1"/>
    <col min="28" max="28" width="5.1640625" style="8" bestFit="1" customWidth="1"/>
    <col min="29" max="29" width="9.33203125" style="11" bestFit="1" customWidth="1"/>
    <col min="30" max="30" width="7.1640625" style="11" bestFit="1" customWidth="1"/>
    <col min="31" max="31" width="11.33203125" style="11" bestFit="1" customWidth="1"/>
    <col min="32" max="32" width="4.6640625" style="74" bestFit="1" customWidth="1"/>
    <col min="33" max="33" width="4.33203125" style="11" bestFit="1" customWidth="1"/>
    <col min="34" max="35" width="4.33203125" style="75" bestFit="1" customWidth="1"/>
    <col min="36" max="36" width="5.1640625" style="8" bestFit="1" customWidth="1"/>
    <col min="37" max="37" width="6.1640625" style="8" bestFit="1" customWidth="1"/>
    <col min="38" max="40" width="5.1640625" style="8" bestFit="1" customWidth="1"/>
    <col min="41" max="41" width="6.1640625" style="8" bestFit="1" customWidth="1"/>
    <col min="42" max="42" width="4.1640625" style="8" bestFit="1" customWidth="1"/>
    <col min="43" max="43" width="5.1640625" style="8" bestFit="1" customWidth="1"/>
    <col min="44" max="44" width="4.1640625" style="8" bestFit="1" customWidth="1"/>
    <col min="45" max="47" width="5.1640625" style="8" bestFit="1" customWidth="1"/>
    <col min="48" max="48" width="4.1640625" style="8" bestFit="1" customWidth="1"/>
    <col min="49" max="49" width="5.1640625" style="8" bestFit="1" customWidth="1"/>
    <col min="50" max="50" width="4.33203125" style="75" bestFit="1" customWidth="1"/>
    <col min="51" max="51" width="5.6640625" style="8" customWidth="1"/>
    <col min="52" max="52" width="4.83203125" style="8" bestFit="1" customWidth="1"/>
    <col min="53" max="53" width="5.33203125" style="8" bestFit="1" customWidth="1"/>
    <col min="54" max="54" width="5.6640625" style="75" bestFit="1" customWidth="1"/>
    <col min="55" max="56" width="9.83203125" style="8" bestFit="1" customWidth="1"/>
    <col min="57" max="57" width="8.83203125" style="8" bestFit="1" customWidth="1"/>
    <col min="58" max="58" width="9.6640625" style="8" bestFit="1" customWidth="1"/>
    <col min="59" max="59" width="8.83203125" style="8" bestFit="1" customWidth="1"/>
    <col min="60" max="60" width="9.83203125" style="8" bestFit="1" customWidth="1"/>
    <col min="61" max="61" width="8.83203125" style="8" bestFit="1" customWidth="1"/>
    <col min="62" max="62" width="9.83203125" style="8" bestFit="1" customWidth="1"/>
    <col min="63" max="63" width="8.83203125" style="8" bestFit="1" customWidth="1"/>
    <col min="64" max="64" width="9.83203125" style="8" bestFit="1" customWidth="1"/>
    <col min="65" max="65" width="8.83203125" style="8" bestFit="1" customWidth="1"/>
    <col min="66" max="66" width="9.83203125" style="8" bestFit="1" customWidth="1"/>
    <col min="67" max="68" width="8.83203125" style="8" bestFit="1" customWidth="1"/>
    <col min="69" max="69" width="6.33203125" style="75" bestFit="1" customWidth="1"/>
    <col min="70" max="70" width="3.6640625" style="75" customWidth="1"/>
    <col min="71" max="71" width="5.33203125" style="76" bestFit="1" customWidth="1"/>
    <col min="72" max="72" width="12.1640625" style="8" bestFit="1" customWidth="1"/>
    <col min="73" max="85" width="8.6640625" style="8" bestFit="1" customWidth="1"/>
    <col min="86" max="87" width="4.6640625" style="8" bestFit="1" customWidth="1"/>
    <col min="88" max="88" width="5.33203125" style="10" bestFit="1" customWidth="1"/>
    <col min="89" max="89" width="5" style="8" customWidth="1"/>
    <col min="90" max="103" width="10.83203125" style="8"/>
    <col min="104" max="104" width="4.6640625" style="8" bestFit="1" customWidth="1"/>
    <col min="105" max="105" width="10.83203125" style="8"/>
    <col min="106" max="108" width="4" style="8" customWidth="1"/>
    <col min="109" max="109" width="3.33203125" style="8" bestFit="1" customWidth="1"/>
    <col min="110" max="110" width="7.5" style="8" bestFit="1" customWidth="1"/>
    <col min="111" max="111" width="4.33203125" style="8" bestFit="1" customWidth="1"/>
    <col min="112" max="112" width="3.6640625" style="8" bestFit="1" customWidth="1"/>
    <col min="113" max="113" width="4.6640625" style="8" bestFit="1" customWidth="1"/>
    <col min="114" max="115" width="3.6640625" style="8" bestFit="1" customWidth="1"/>
    <col min="116" max="16384" width="10.83203125" style="8"/>
  </cols>
  <sheetData>
    <row r="1" spans="1:110" ht="14" customHeight="1">
      <c r="M1" s="9"/>
      <c r="N1" s="9"/>
      <c r="AC1" s="9"/>
      <c r="AD1" s="9"/>
      <c r="AE1" s="9"/>
      <c r="AF1" s="13"/>
      <c r="AG1" s="9"/>
      <c r="AH1" s="140" t="s">
        <v>104</v>
      </c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1"/>
      <c r="AY1" s="14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6"/>
      <c r="BR1" s="17" t="s">
        <v>105</v>
      </c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9"/>
      <c r="CH1" s="135"/>
      <c r="CI1" s="135"/>
      <c r="CJ1" s="142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4"/>
    </row>
    <row r="2" spans="1:110" ht="48" customHeight="1">
      <c r="C2" s="51"/>
      <c r="E2" s="136" t="s">
        <v>67</v>
      </c>
      <c r="F2" s="137"/>
      <c r="G2" s="20"/>
      <c r="H2" s="10"/>
      <c r="I2" s="21" t="s">
        <v>99</v>
      </c>
      <c r="J2" s="77"/>
      <c r="K2" s="77"/>
      <c r="L2" s="78"/>
      <c r="M2" s="78"/>
      <c r="N2" s="22" t="s">
        <v>77</v>
      </c>
      <c r="O2" s="145" t="s">
        <v>50</v>
      </c>
      <c r="P2" s="146"/>
      <c r="Q2" s="146"/>
      <c r="R2" s="147" t="s">
        <v>101</v>
      </c>
      <c r="S2" s="148"/>
      <c r="T2" s="148"/>
      <c r="U2" s="148"/>
      <c r="V2" s="148"/>
      <c r="W2" s="148"/>
      <c r="X2" s="148"/>
      <c r="Y2" s="148"/>
      <c r="Z2" s="148"/>
      <c r="AA2" s="148"/>
      <c r="AB2" s="142" t="s">
        <v>51</v>
      </c>
      <c r="AC2" s="143"/>
      <c r="AD2" s="143"/>
      <c r="AE2" s="143"/>
      <c r="AF2" s="143"/>
      <c r="AG2" s="144"/>
      <c r="AH2" s="23"/>
      <c r="AI2" s="24"/>
      <c r="AJ2" s="138" t="s">
        <v>15</v>
      </c>
      <c r="AK2" s="139"/>
      <c r="AL2" s="138" t="s">
        <v>13</v>
      </c>
      <c r="AM2" s="139"/>
      <c r="AN2" s="138" t="s">
        <v>14</v>
      </c>
      <c r="AO2" s="139"/>
      <c r="AP2" s="138" t="s">
        <v>7</v>
      </c>
      <c r="AQ2" s="139"/>
      <c r="AR2" s="138" t="s">
        <v>6</v>
      </c>
      <c r="AS2" s="139"/>
      <c r="AT2" s="138" t="s">
        <v>5</v>
      </c>
      <c r="AU2" s="139"/>
      <c r="AV2" s="138" t="s">
        <v>4</v>
      </c>
      <c r="AW2" s="139"/>
      <c r="AX2" s="24"/>
      <c r="AY2" s="154" t="s">
        <v>37</v>
      </c>
      <c r="AZ2" s="155"/>
      <c r="BA2" s="156"/>
      <c r="BB2" s="25"/>
      <c r="BC2" s="157" t="s">
        <v>13</v>
      </c>
      <c r="BD2" s="158"/>
      <c r="BE2" s="157" t="s">
        <v>29</v>
      </c>
      <c r="BF2" s="158"/>
      <c r="BG2" s="138" t="s">
        <v>30</v>
      </c>
      <c r="BH2" s="139"/>
      <c r="BI2" s="138" t="s">
        <v>31</v>
      </c>
      <c r="BJ2" s="139"/>
      <c r="BK2" s="138" t="s">
        <v>32</v>
      </c>
      <c r="BL2" s="139"/>
      <c r="BM2" s="138" t="s">
        <v>33</v>
      </c>
      <c r="BN2" s="139"/>
      <c r="BO2" s="138" t="s">
        <v>34</v>
      </c>
      <c r="BP2" s="139"/>
      <c r="BQ2" s="26"/>
      <c r="BR2" s="27"/>
      <c r="BS2" s="28"/>
      <c r="BT2" s="151" t="s">
        <v>15</v>
      </c>
      <c r="BU2" s="153"/>
      <c r="BV2" s="152" t="s">
        <v>13</v>
      </c>
      <c r="BW2" s="153"/>
      <c r="BX2" s="151" t="s">
        <v>14</v>
      </c>
      <c r="BY2" s="153"/>
      <c r="BZ2" s="151" t="s">
        <v>7</v>
      </c>
      <c r="CA2" s="153"/>
      <c r="CB2" s="151" t="s">
        <v>6</v>
      </c>
      <c r="CC2" s="152"/>
      <c r="CD2" s="151" t="s">
        <v>5</v>
      </c>
      <c r="CE2" s="153"/>
      <c r="CF2" s="151" t="s">
        <v>4</v>
      </c>
      <c r="CG2" s="153"/>
      <c r="CH2" s="134"/>
      <c r="CI2" s="134"/>
      <c r="CJ2" s="149" t="s">
        <v>40</v>
      </c>
      <c r="CK2" s="150"/>
      <c r="CL2" s="151" t="s">
        <v>13</v>
      </c>
      <c r="CM2" s="152"/>
      <c r="CN2" s="151" t="s">
        <v>29</v>
      </c>
      <c r="CO2" s="153"/>
      <c r="CP2" s="27" t="s">
        <v>30</v>
      </c>
      <c r="CQ2" s="28"/>
      <c r="CR2" s="27" t="s">
        <v>31</v>
      </c>
      <c r="CS2" s="28"/>
      <c r="CT2" s="27" t="s">
        <v>32</v>
      </c>
      <c r="CU2" s="28"/>
      <c r="CV2" s="27" t="s">
        <v>33</v>
      </c>
      <c r="CW2" s="28"/>
      <c r="CX2" s="27" t="s">
        <v>34</v>
      </c>
      <c r="CY2" s="28"/>
    </row>
    <row r="3" spans="1:110" ht="249">
      <c r="A3" s="29" t="s">
        <v>11</v>
      </c>
      <c r="B3" s="30" t="s">
        <v>1</v>
      </c>
      <c r="C3" s="30" t="s">
        <v>69</v>
      </c>
      <c r="D3" s="30" t="s">
        <v>49</v>
      </c>
      <c r="E3" s="31" t="s">
        <v>10</v>
      </c>
      <c r="F3" s="31" t="s">
        <v>9</v>
      </c>
      <c r="G3" s="7" t="s">
        <v>44</v>
      </c>
      <c r="H3" s="32" t="s">
        <v>73</v>
      </c>
      <c r="I3" s="33" t="s">
        <v>72</v>
      </c>
      <c r="J3" s="35" t="s">
        <v>47</v>
      </c>
      <c r="K3" s="35" t="s">
        <v>46</v>
      </c>
      <c r="L3" s="35" t="s">
        <v>0</v>
      </c>
      <c r="M3" s="35" t="s">
        <v>100</v>
      </c>
      <c r="N3" s="34" t="s">
        <v>75</v>
      </c>
      <c r="O3" s="36" t="s">
        <v>8</v>
      </c>
      <c r="P3" s="36" t="s">
        <v>74</v>
      </c>
      <c r="Q3" s="36" t="s">
        <v>48</v>
      </c>
      <c r="R3" s="89" t="s">
        <v>103</v>
      </c>
      <c r="S3" s="37" t="s">
        <v>158</v>
      </c>
      <c r="T3" s="90" t="s">
        <v>16</v>
      </c>
      <c r="U3" s="37" t="s">
        <v>35</v>
      </c>
      <c r="V3" s="37" t="s">
        <v>21</v>
      </c>
      <c r="W3" s="37" t="s">
        <v>20</v>
      </c>
      <c r="X3" s="37" t="s">
        <v>22</v>
      </c>
      <c r="Y3" s="37" t="s">
        <v>23</v>
      </c>
      <c r="Z3" s="37" t="s">
        <v>24</v>
      </c>
      <c r="AA3" s="37" t="s">
        <v>25</v>
      </c>
      <c r="AB3" s="38" t="s">
        <v>160</v>
      </c>
      <c r="AC3" s="39" t="s">
        <v>42</v>
      </c>
      <c r="AD3" s="39" t="s">
        <v>41</v>
      </c>
      <c r="AE3" s="39" t="s">
        <v>17</v>
      </c>
      <c r="AF3" s="40" t="s">
        <v>12</v>
      </c>
      <c r="AG3" s="41" t="s">
        <v>159</v>
      </c>
      <c r="AH3" s="42" t="s">
        <v>19</v>
      </c>
      <c r="AI3" s="42" t="s">
        <v>18</v>
      </c>
      <c r="AJ3" s="43" t="s">
        <v>27</v>
      </c>
      <c r="AK3" s="44" t="s">
        <v>26</v>
      </c>
      <c r="AL3" s="43" t="s">
        <v>27</v>
      </c>
      <c r="AM3" s="44" t="s">
        <v>26</v>
      </c>
      <c r="AN3" s="43" t="s">
        <v>27</v>
      </c>
      <c r="AO3" s="44" t="s">
        <v>26</v>
      </c>
      <c r="AP3" s="43" t="s">
        <v>27</v>
      </c>
      <c r="AQ3" s="44" t="s">
        <v>26</v>
      </c>
      <c r="AR3" s="43" t="s">
        <v>27</v>
      </c>
      <c r="AS3" s="44" t="s">
        <v>26</v>
      </c>
      <c r="AT3" s="43" t="s">
        <v>27</v>
      </c>
      <c r="AU3" s="44" t="s">
        <v>26</v>
      </c>
      <c r="AV3" s="43" t="s">
        <v>27</v>
      </c>
      <c r="AW3" s="44" t="s">
        <v>26</v>
      </c>
      <c r="AX3" s="42" t="s">
        <v>156</v>
      </c>
      <c r="AY3" s="7" t="s">
        <v>163</v>
      </c>
      <c r="AZ3" s="129" t="s">
        <v>53</v>
      </c>
      <c r="BA3" s="45" t="s">
        <v>157</v>
      </c>
      <c r="BB3" s="46" t="s">
        <v>36</v>
      </c>
      <c r="BC3" s="43" t="s">
        <v>27</v>
      </c>
      <c r="BD3" s="44" t="s">
        <v>26</v>
      </c>
      <c r="BE3" s="43" t="s">
        <v>27</v>
      </c>
      <c r="BF3" s="44" t="s">
        <v>26</v>
      </c>
      <c r="BG3" s="43" t="s">
        <v>27</v>
      </c>
      <c r="BH3" s="44" t="s">
        <v>26</v>
      </c>
      <c r="BI3" s="43" t="s">
        <v>27</v>
      </c>
      <c r="BJ3" s="44" t="s">
        <v>26</v>
      </c>
      <c r="BK3" s="43" t="s">
        <v>27</v>
      </c>
      <c r="BL3" s="44" t="s">
        <v>26</v>
      </c>
      <c r="BM3" s="43" t="s">
        <v>27</v>
      </c>
      <c r="BN3" s="44" t="s">
        <v>26</v>
      </c>
      <c r="BO3" s="43" t="s">
        <v>27</v>
      </c>
      <c r="BP3" s="44" t="s">
        <v>26</v>
      </c>
      <c r="BQ3" s="46" t="s">
        <v>162</v>
      </c>
      <c r="BR3" s="45" t="s">
        <v>38</v>
      </c>
      <c r="BS3" s="47" t="s">
        <v>161</v>
      </c>
      <c r="BT3" s="48" t="s">
        <v>28</v>
      </c>
      <c r="BU3" s="49" t="s">
        <v>26</v>
      </c>
      <c r="BV3" s="48" t="s">
        <v>28</v>
      </c>
      <c r="BW3" s="49" t="s">
        <v>26</v>
      </c>
      <c r="BX3" s="48" t="s">
        <v>28</v>
      </c>
      <c r="BY3" s="49" t="s">
        <v>26</v>
      </c>
      <c r="BZ3" s="48" t="s">
        <v>28</v>
      </c>
      <c r="CA3" s="49" t="s">
        <v>26</v>
      </c>
      <c r="CB3" s="48" t="s">
        <v>28</v>
      </c>
      <c r="CC3" s="49" t="s">
        <v>26</v>
      </c>
      <c r="CD3" s="48" t="s">
        <v>28</v>
      </c>
      <c r="CE3" s="49" t="s">
        <v>26</v>
      </c>
      <c r="CF3" s="48" t="s">
        <v>28</v>
      </c>
      <c r="CG3" s="49" t="s">
        <v>26</v>
      </c>
      <c r="CH3" s="7" t="s">
        <v>164</v>
      </c>
      <c r="CI3" s="7" t="s">
        <v>165</v>
      </c>
      <c r="CJ3" s="7" t="s">
        <v>39</v>
      </c>
      <c r="CK3" s="45" t="s">
        <v>52</v>
      </c>
      <c r="CL3" s="38" t="s">
        <v>28</v>
      </c>
      <c r="CM3" s="50" t="s">
        <v>26</v>
      </c>
      <c r="CN3" s="38" t="s">
        <v>28</v>
      </c>
      <c r="CO3" s="50" t="s">
        <v>26</v>
      </c>
      <c r="CP3" s="38" t="s">
        <v>28</v>
      </c>
      <c r="CQ3" s="50" t="s">
        <v>26</v>
      </c>
      <c r="CR3" s="38" t="s">
        <v>28</v>
      </c>
      <c r="CS3" s="50" t="s">
        <v>26</v>
      </c>
      <c r="CT3" s="38" t="s">
        <v>28</v>
      </c>
      <c r="CU3" s="50" t="s">
        <v>26</v>
      </c>
      <c r="CV3" s="38" t="s">
        <v>28</v>
      </c>
      <c r="CW3" s="50" t="s">
        <v>26</v>
      </c>
      <c r="CX3" s="38" t="s">
        <v>28</v>
      </c>
      <c r="CY3" s="50" t="s">
        <v>26</v>
      </c>
      <c r="CZ3" s="167" t="s">
        <v>166</v>
      </c>
    </row>
    <row r="4" spans="1:110" s="10" customFormat="1" ht="15" customHeight="1">
      <c r="A4" s="6" t="s">
        <v>54</v>
      </c>
      <c r="B4" s="10" t="s">
        <v>3</v>
      </c>
      <c r="C4" s="51" t="s">
        <v>43</v>
      </c>
      <c r="D4" s="10" t="s">
        <v>55</v>
      </c>
      <c r="E4" s="10">
        <v>12</v>
      </c>
      <c r="F4" s="10">
        <v>2</v>
      </c>
      <c r="G4" s="10" t="s">
        <v>71</v>
      </c>
      <c r="H4" s="10">
        <v>8</v>
      </c>
      <c r="I4" s="1" t="s">
        <v>78</v>
      </c>
      <c r="J4" s="10" t="s">
        <v>76</v>
      </c>
      <c r="K4" s="1" t="s">
        <v>76</v>
      </c>
      <c r="L4" s="1" t="s">
        <v>76</v>
      </c>
      <c r="M4" s="1" t="s">
        <v>76</v>
      </c>
      <c r="N4" s="87" t="s">
        <v>92</v>
      </c>
      <c r="O4">
        <v>3301.920654</v>
      </c>
      <c r="P4" s="100">
        <v>17482</v>
      </c>
      <c r="Q4" s="54">
        <f>O4/P4</f>
        <v>0.18887545212218282</v>
      </c>
      <c r="R4" s="52" t="s">
        <v>102</v>
      </c>
      <c r="S4" s="10" t="s">
        <v>76</v>
      </c>
      <c r="T4" s="51">
        <v>141</v>
      </c>
      <c r="U4" s="6">
        <v>140</v>
      </c>
      <c r="V4" s="10">
        <v>136</v>
      </c>
      <c r="W4" s="10">
        <v>139</v>
      </c>
      <c r="X4" s="10">
        <v>118</v>
      </c>
      <c r="Y4" s="10">
        <v>117</v>
      </c>
      <c r="Z4" s="10">
        <v>135</v>
      </c>
      <c r="AA4" s="10">
        <v>96</v>
      </c>
      <c r="AB4" s="6" t="s">
        <v>76</v>
      </c>
      <c r="AC4" s="56">
        <v>68078272</v>
      </c>
      <c r="AD4" s="53">
        <f>AC4/16^3</f>
        <v>16620.671875</v>
      </c>
      <c r="AE4" s="53">
        <v>53779419.3024</v>
      </c>
      <c r="AF4" s="132">
        <f>AE4/AC4</f>
        <v>0.78996451764228093</v>
      </c>
      <c r="AG4" s="58">
        <f>(P4-AD4)/P4</f>
        <v>4.9269427125042904E-2</v>
      </c>
      <c r="AH4" s="58">
        <f t="shared" ref="AH4:AH15" si="0">(O4-AJ4)/O4</f>
        <v>1.7450263055294509E-2</v>
      </c>
      <c r="AI4" s="58">
        <f t="shared" ref="AI4:AI15" si="1">(P4-AK4)/P4</f>
        <v>0</v>
      </c>
      <c r="AJ4" s="53">
        <v>3244.3012699999899</v>
      </c>
      <c r="AK4" s="130">
        <v>17482</v>
      </c>
      <c r="AL4" s="130">
        <v>1169.515625</v>
      </c>
      <c r="AM4" s="130">
        <v>5780</v>
      </c>
      <c r="AN4" s="131">
        <v>2037.9216309999899</v>
      </c>
      <c r="AO4" s="53">
        <v>11507</v>
      </c>
      <c r="AP4" s="53">
        <v>525.45220900000004</v>
      </c>
      <c r="AQ4" s="130">
        <v>2856</v>
      </c>
      <c r="AR4" s="53">
        <v>324.59252900000001</v>
      </c>
      <c r="AS4" s="130">
        <v>1868</v>
      </c>
      <c r="AT4" s="53">
        <v>897.08477800000003</v>
      </c>
      <c r="AU4" s="130">
        <v>4862</v>
      </c>
      <c r="AV4" s="53">
        <v>290.79232799999897</v>
      </c>
      <c r="AW4" s="130">
        <v>1921</v>
      </c>
      <c r="AX4" s="58">
        <f>AO4-(AQ4+AS4+AU4+AW4)</f>
        <v>0</v>
      </c>
      <c r="AY4" s="10" t="s">
        <v>76</v>
      </c>
      <c r="AZ4">
        <f>360-110</f>
        <v>250</v>
      </c>
      <c r="BA4" s="6" t="s">
        <v>76</v>
      </c>
      <c r="BB4" s="10">
        <f>BC4/AL4</f>
        <v>0.99388154818367636</v>
      </c>
      <c r="BC4" s="128">
        <v>1162.3599999999999</v>
      </c>
      <c r="BD4" s="5">
        <v>5742</v>
      </c>
      <c r="BE4" s="5">
        <v>198.215</v>
      </c>
      <c r="BF4" s="5">
        <v>1018</v>
      </c>
      <c r="BG4" s="5">
        <v>129.83500000000001</v>
      </c>
      <c r="BH4" s="5">
        <v>632</v>
      </c>
      <c r="BI4" s="5">
        <v>313.23200000000003</v>
      </c>
      <c r="BJ4" s="5">
        <v>1629</v>
      </c>
      <c r="BK4" s="5">
        <v>268.06200000000001</v>
      </c>
      <c r="BL4" s="5">
        <v>1310</v>
      </c>
      <c r="BM4" s="5">
        <v>182.13800000000001</v>
      </c>
      <c r="BN4" s="5">
        <v>806</v>
      </c>
      <c r="BO4" s="5">
        <v>70.873599999999996</v>
      </c>
      <c r="BP4" s="5">
        <v>347</v>
      </c>
      <c r="BQ4" s="58">
        <f>(AJ4-(AP4+AR4+AT4+AV4+BE4+BG4+BI4+BK4+BM4+BO4))/AJ4</f>
        <v>1.3569586279510701E-2</v>
      </c>
      <c r="BR4" s="87" t="s">
        <v>92</v>
      </c>
      <c r="BS4" s="59">
        <f>AJ4/O4</f>
        <v>0.98254973694470549</v>
      </c>
      <c r="BT4" s="165">
        <v>13745.044921999901</v>
      </c>
      <c r="BU4" s="165">
        <v>17481</v>
      </c>
      <c r="BV4" s="165">
        <v>4554.3388670000004</v>
      </c>
      <c r="BW4" s="165">
        <v>5780</v>
      </c>
      <c r="BX4" s="165">
        <v>9007.99804699999</v>
      </c>
      <c r="BY4" s="165">
        <v>11506</v>
      </c>
      <c r="BZ4" s="165">
        <v>2236.9812010000001</v>
      </c>
      <c r="CA4" s="165">
        <v>2856</v>
      </c>
      <c r="CB4" s="165">
        <v>1405.81713899999</v>
      </c>
      <c r="CC4" s="165">
        <v>1868</v>
      </c>
      <c r="CD4" s="165">
        <v>3894.2468260000001</v>
      </c>
      <c r="CE4" s="165">
        <v>4862</v>
      </c>
      <c r="CF4" s="165">
        <v>1470.9530030000001</v>
      </c>
      <c r="CG4" s="165">
        <v>1920</v>
      </c>
      <c r="CH4" s="63">
        <f>BX4/(BZ4+CB4+CD4+CF4)</f>
        <v>0.99999998645648025</v>
      </c>
      <c r="CI4" s="63">
        <f>BU4/(BW4+BY4)</f>
        <v>1.0112808052759459</v>
      </c>
      <c r="CJ4" s="10" t="s">
        <v>76</v>
      </c>
      <c r="CK4" s="10" t="s">
        <v>76</v>
      </c>
      <c r="CL4" s="5">
        <v>4520.49</v>
      </c>
      <c r="CM4" s="5">
        <v>5742</v>
      </c>
      <c r="CN4" s="5">
        <v>802.52200000000005</v>
      </c>
      <c r="CO4" s="5">
        <v>1018</v>
      </c>
      <c r="CP4" s="5">
        <v>474.58699999999999</v>
      </c>
      <c r="CQ4" s="5">
        <v>632</v>
      </c>
      <c r="CR4" s="5">
        <v>1287.47</v>
      </c>
      <c r="CS4" s="5">
        <v>1629</v>
      </c>
      <c r="CT4" s="5">
        <v>1030.3900000000001</v>
      </c>
      <c r="CU4" s="5">
        <v>1310</v>
      </c>
      <c r="CV4" s="5">
        <v>646.64599999999996</v>
      </c>
      <c r="CW4" s="5">
        <v>806</v>
      </c>
      <c r="CX4" s="5">
        <v>278.87200000000001</v>
      </c>
      <c r="CY4" s="5">
        <v>347</v>
      </c>
      <c r="CZ4" s="63">
        <f>CL4/(CN4+CP4+CR4+CT4+CV4+CX4)</f>
        <v>1.0000006636453107</v>
      </c>
    </row>
    <row r="5" spans="1:110" s="10" customFormat="1">
      <c r="A5" s="6" t="s">
        <v>62</v>
      </c>
      <c r="B5" s="10" t="s">
        <v>3</v>
      </c>
      <c r="C5" s="51" t="s">
        <v>43</v>
      </c>
      <c r="D5" s="10" t="s">
        <v>55</v>
      </c>
      <c r="E5" s="10">
        <v>12</v>
      </c>
      <c r="F5" s="10">
        <v>2</v>
      </c>
      <c r="G5" s="10" t="s">
        <v>71</v>
      </c>
      <c r="H5" s="10">
        <v>8</v>
      </c>
      <c r="I5" s="1" t="s">
        <v>78</v>
      </c>
      <c r="J5" s="10" t="s">
        <v>76</v>
      </c>
      <c r="K5" s="1" t="s">
        <v>76</v>
      </c>
      <c r="L5" s="1" t="s">
        <v>76</v>
      </c>
      <c r="M5" s="1" t="s">
        <v>76</v>
      </c>
      <c r="N5" s="87" t="s">
        <v>92</v>
      </c>
      <c r="O5">
        <v>3084.5634770000001</v>
      </c>
      <c r="P5" s="100">
        <v>18220</v>
      </c>
      <c r="Q5" s="54">
        <f t="shared" ref="Q5:Q15" si="2">O5/P5</f>
        <v>0.1692954707464325</v>
      </c>
      <c r="R5" s="52" t="s">
        <v>102</v>
      </c>
      <c r="S5" s="10" t="s">
        <v>76</v>
      </c>
      <c r="T5" s="51">
        <v>161</v>
      </c>
      <c r="U5" s="6">
        <v>160</v>
      </c>
      <c r="V5" s="6">
        <v>158</v>
      </c>
      <c r="W5" s="6">
        <v>159</v>
      </c>
      <c r="X5" s="6">
        <v>146</v>
      </c>
      <c r="Y5" s="6">
        <v>149</v>
      </c>
      <c r="Z5" s="6">
        <v>153</v>
      </c>
      <c r="AA5" s="6">
        <v>127</v>
      </c>
      <c r="AB5" s="6" t="s">
        <v>76</v>
      </c>
      <c r="AC5" s="53">
        <v>70700935</v>
      </c>
      <c r="AD5" s="53">
        <f>AC5/16^3</f>
        <v>17260.970458984375</v>
      </c>
      <c r="AE5" s="53">
        <v>56014686.301600002</v>
      </c>
      <c r="AF5" s="132">
        <f t="shared" ref="AF5:AF15" si="3">AE5/AC5</f>
        <v>0.79227645718688167</v>
      </c>
      <c r="AG5" s="58">
        <f t="shared" ref="AG5:AG15" si="4">(P5-AD5)/P5</f>
        <v>5.2636088969024421E-2</v>
      </c>
      <c r="AH5" s="58">
        <f t="shared" si="0"/>
        <v>1.527009035515795E-2</v>
      </c>
      <c r="AI5" s="58">
        <f t="shared" si="1"/>
        <v>0</v>
      </c>
      <c r="AJ5" s="53">
        <v>3037.46191399999</v>
      </c>
      <c r="AK5" s="130">
        <v>18220</v>
      </c>
      <c r="AL5" s="53">
        <v>1087.8073730000001</v>
      </c>
      <c r="AM5" s="130">
        <v>6389</v>
      </c>
      <c r="AN5" s="53">
        <v>1906.1154790000001</v>
      </c>
      <c r="AO5" s="53">
        <v>11557</v>
      </c>
      <c r="AP5" s="53">
        <v>531.19958499999905</v>
      </c>
      <c r="AQ5" s="130">
        <v>3193</v>
      </c>
      <c r="AR5" s="53">
        <v>390.76181000000003</v>
      </c>
      <c r="AS5" s="130">
        <v>2218</v>
      </c>
      <c r="AT5" s="53">
        <v>777.46789599999897</v>
      </c>
      <c r="AU5" s="130">
        <v>4576</v>
      </c>
      <c r="AV5" s="53">
        <v>206.685927999999</v>
      </c>
      <c r="AW5" s="53">
        <v>1570</v>
      </c>
      <c r="AX5" s="58">
        <f t="shared" ref="AX5:AX15" si="5">AO5-(AQ5+AS5+AU5+AW5)</f>
        <v>0</v>
      </c>
      <c r="AY5" s="10" t="s">
        <v>76</v>
      </c>
      <c r="AZ5">
        <f>360-70</f>
        <v>290</v>
      </c>
      <c r="BA5" s="6" t="s">
        <v>76</v>
      </c>
      <c r="BB5" s="10">
        <f t="shared" ref="BB5:BB15" si="6">BC5/AL5</f>
        <v>0.96954665520547079</v>
      </c>
      <c r="BC5" s="5">
        <v>1054.68</v>
      </c>
      <c r="BD5" s="5">
        <v>6203</v>
      </c>
      <c r="BE5" s="5">
        <v>172.25700000000001</v>
      </c>
      <c r="BF5" s="5">
        <v>1002</v>
      </c>
      <c r="BG5" s="5">
        <v>83.910499999999999</v>
      </c>
      <c r="BH5" s="5">
        <v>508</v>
      </c>
      <c r="BI5" s="5">
        <v>269.94499999999999</v>
      </c>
      <c r="BJ5" s="5">
        <v>1641</v>
      </c>
      <c r="BK5" s="5">
        <v>256.37</v>
      </c>
      <c r="BL5" s="5">
        <v>1533</v>
      </c>
      <c r="BM5" s="5">
        <v>162.41399999999999</v>
      </c>
      <c r="BN5" s="5">
        <v>892</v>
      </c>
      <c r="BO5" s="5">
        <v>109.789</v>
      </c>
      <c r="BP5" s="5">
        <v>627</v>
      </c>
      <c r="BQ5" s="58">
        <f t="shared" ref="BQ5:BQ15" si="7">(AJ5-(AP5+AR5+AT5+AV5+BE5+BG5+BI5+BK5+BM5+BO5))/AJ5</f>
        <v>2.5238569954293969E-2</v>
      </c>
      <c r="BR5" s="87" t="s">
        <v>92</v>
      </c>
      <c r="BS5" s="59">
        <f t="shared" ref="BS5:BS15" si="8">AJ5/O5</f>
        <v>0.98472990964484208</v>
      </c>
      <c r="BT5" s="165">
        <v>14397.693359000001</v>
      </c>
      <c r="BU5" s="165">
        <v>18219</v>
      </c>
      <c r="BV5" s="165">
        <v>5022.4057620000003</v>
      </c>
      <c r="BW5" s="165">
        <v>6389</v>
      </c>
      <c r="BX5" s="165">
        <v>9111.2431639999904</v>
      </c>
      <c r="BY5" s="165">
        <v>11556</v>
      </c>
      <c r="BZ5" s="165">
        <v>2547.7014159999899</v>
      </c>
      <c r="CA5" s="165">
        <v>3193</v>
      </c>
      <c r="CB5" s="165">
        <v>1747.0383300000001</v>
      </c>
      <c r="CC5" s="165">
        <v>2218</v>
      </c>
      <c r="CD5" s="165">
        <v>3609.5009770000001</v>
      </c>
      <c r="CE5" s="165">
        <v>4575</v>
      </c>
      <c r="CF5" s="165">
        <v>1207.00158699999</v>
      </c>
      <c r="CG5" s="165">
        <v>1570</v>
      </c>
      <c r="CH5" s="63">
        <f t="shared" ref="CH5:CH15" si="9">BX5/(BZ5+CB5+CD5+CF5)</f>
        <v>1.0000000937303588</v>
      </c>
      <c r="CI5" s="63">
        <f t="shared" ref="CI5:CI15" si="10">BU5/(BW5+BY5)</f>
        <v>1.0152688771245473</v>
      </c>
      <c r="CJ5" s="10" t="s">
        <v>76</v>
      </c>
      <c r="CK5" s="10" t="s">
        <v>76</v>
      </c>
      <c r="CL5" s="5">
        <v>4867.7700000000004</v>
      </c>
      <c r="CM5" s="5">
        <v>6203</v>
      </c>
      <c r="CN5" s="5">
        <v>801.44200000000001</v>
      </c>
      <c r="CO5" s="5">
        <v>1002</v>
      </c>
      <c r="CP5" s="5">
        <v>388.28</v>
      </c>
      <c r="CQ5" s="5">
        <v>508</v>
      </c>
      <c r="CR5" s="5">
        <v>1292.33</v>
      </c>
      <c r="CS5" s="5">
        <v>1641</v>
      </c>
      <c r="CT5" s="5">
        <v>1183.8599999999999</v>
      </c>
      <c r="CU5" s="5">
        <v>1533</v>
      </c>
      <c r="CV5" s="5">
        <v>704.85</v>
      </c>
      <c r="CW5" s="5">
        <v>892</v>
      </c>
      <c r="CX5" s="5">
        <v>497.00900000000001</v>
      </c>
      <c r="CY5" s="5">
        <v>627</v>
      </c>
      <c r="CZ5" s="63">
        <f t="shared" ref="CZ5:CZ15" si="11">CL5/(CN5+CP5+CR5+CT5+CV5+CX5)</f>
        <v>0.99999979456716448</v>
      </c>
      <c r="DA5" s="55"/>
      <c r="DF5" s="55"/>
    </row>
    <row r="6" spans="1:110" s="10" customFormat="1">
      <c r="A6" s="6" t="s">
        <v>63</v>
      </c>
      <c r="B6" s="10" t="s">
        <v>3</v>
      </c>
      <c r="C6" s="51" t="s">
        <v>43</v>
      </c>
      <c r="D6" s="10" t="s">
        <v>55</v>
      </c>
      <c r="E6" s="10">
        <v>12</v>
      </c>
      <c r="F6" s="10">
        <v>2</v>
      </c>
      <c r="G6" s="10" t="s">
        <v>71</v>
      </c>
      <c r="H6" s="10">
        <v>8</v>
      </c>
      <c r="I6" s="1" t="s">
        <v>78</v>
      </c>
      <c r="J6" s="1" t="s">
        <v>76</v>
      </c>
      <c r="K6" s="1" t="s">
        <v>76</v>
      </c>
      <c r="L6" s="1" t="s">
        <v>76</v>
      </c>
      <c r="M6" s="1" t="s">
        <v>76</v>
      </c>
      <c r="N6" s="87" t="s">
        <v>92</v>
      </c>
      <c r="O6">
        <v>3149.2272950000001</v>
      </c>
      <c r="P6" s="100">
        <v>16926</v>
      </c>
      <c r="Q6" s="54">
        <f t="shared" si="2"/>
        <v>0.18605856640671159</v>
      </c>
      <c r="R6" s="52" t="s">
        <v>102</v>
      </c>
      <c r="S6" s="10" t="s">
        <v>76</v>
      </c>
      <c r="T6" s="70">
        <v>163</v>
      </c>
      <c r="U6" s="61">
        <v>162</v>
      </c>
      <c r="V6" s="61">
        <v>160</v>
      </c>
      <c r="W6" s="61">
        <v>161</v>
      </c>
      <c r="X6" s="61">
        <v>146</v>
      </c>
      <c r="Y6" s="61">
        <v>152</v>
      </c>
      <c r="Z6" s="61">
        <v>155</v>
      </c>
      <c r="AA6" s="61">
        <v>109</v>
      </c>
      <c r="AB6" s="6" t="s">
        <v>76</v>
      </c>
      <c r="AC6" s="62">
        <v>64292508</v>
      </c>
      <c r="AD6" s="53">
        <f t="shared" ref="AD6:AD15" si="12">AC6/16^3</f>
        <v>15696.4130859375</v>
      </c>
      <c r="AE6" s="62">
        <v>55128272.233400002</v>
      </c>
      <c r="AF6" s="132">
        <f t="shared" si="3"/>
        <v>0.85746028500552507</v>
      </c>
      <c r="AG6" s="58">
        <f t="shared" si="4"/>
        <v>7.2644860809553347E-2</v>
      </c>
      <c r="AH6" s="58">
        <f t="shared" si="0"/>
        <v>1.7025660893114514E-2</v>
      </c>
      <c r="AI6" s="58">
        <f t="shared" si="1"/>
        <v>0</v>
      </c>
      <c r="AJ6" s="53">
        <v>3095.6096189999898</v>
      </c>
      <c r="AK6" s="130">
        <v>16926</v>
      </c>
      <c r="AL6" s="53">
        <v>1131.283936</v>
      </c>
      <c r="AM6" s="130">
        <v>5810</v>
      </c>
      <c r="AN6" s="53">
        <v>1945.6182859999899</v>
      </c>
      <c r="AO6" s="53">
        <v>10988</v>
      </c>
      <c r="AP6" s="53">
        <v>486.35479700000002</v>
      </c>
      <c r="AQ6" s="130">
        <v>2600</v>
      </c>
      <c r="AR6" s="53">
        <v>334.82064800000001</v>
      </c>
      <c r="AS6" s="130">
        <v>1917</v>
      </c>
      <c r="AT6" s="53">
        <v>925.14935300000002</v>
      </c>
      <c r="AU6" s="130">
        <v>5186</v>
      </c>
      <c r="AV6" s="53">
        <v>199.29333500000001</v>
      </c>
      <c r="AW6" s="130">
        <v>1285</v>
      </c>
      <c r="AX6" s="58">
        <f t="shared" si="5"/>
        <v>0</v>
      </c>
      <c r="AY6" s="10" t="s">
        <v>76</v>
      </c>
      <c r="AZ6">
        <f>360-60</f>
        <v>300</v>
      </c>
      <c r="BA6" s="6" t="s">
        <v>76</v>
      </c>
      <c r="BB6" s="10">
        <f t="shared" si="6"/>
        <v>1.0025599797785867</v>
      </c>
      <c r="BC6" s="4">
        <v>1134.18</v>
      </c>
      <c r="BD6" s="4">
        <v>5830</v>
      </c>
      <c r="BE6" s="4">
        <v>268.45600000000002</v>
      </c>
      <c r="BF6" s="4">
        <v>1374</v>
      </c>
      <c r="BG6" s="4">
        <v>138.48099999999999</v>
      </c>
      <c r="BH6" s="4">
        <v>702</v>
      </c>
      <c r="BI6" s="4">
        <v>214.87799999999999</v>
      </c>
      <c r="BJ6" s="4">
        <v>1161</v>
      </c>
      <c r="BK6" s="4">
        <v>211.809</v>
      </c>
      <c r="BL6" s="4">
        <v>1118</v>
      </c>
      <c r="BM6" s="4">
        <v>126.005</v>
      </c>
      <c r="BN6" s="4">
        <v>593</v>
      </c>
      <c r="BO6" s="4">
        <v>174.55199999999999</v>
      </c>
      <c r="BP6" s="4">
        <v>882</v>
      </c>
      <c r="BQ6" s="58">
        <f t="shared" si="7"/>
        <v>5.1073901253404289E-3</v>
      </c>
      <c r="BR6" s="87" t="s">
        <v>92</v>
      </c>
      <c r="BS6" s="59">
        <f t="shared" si="8"/>
        <v>0.98297433910688548</v>
      </c>
      <c r="BT6" s="165">
        <v>14501.335938</v>
      </c>
      <c r="BU6" s="165">
        <v>16926</v>
      </c>
      <c r="BV6" s="165">
        <v>4938.2075199999899</v>
      </c>
      <c r="BW6" s="165">
        <v>5810</v>
      </c>
      <c r="BX6" s="165">
        <v>9437.15625</v>
      </c>
      <c r="BY6" s="165">
        <v>10988</v>
      </c>
      <c r="BZ6" s="165">
        <v>2251.9465329999898</v>
      </c>
      <c r="CA6" s="165">
        <v>2600</v>
      </c>
      <c r="CB6" s="165">
        <v>1621.7661129999899</v>
      </c>
      <c r="CC6" s="165">
        <v>1917</v>
      </c>
      <c r="CD6" s="165">
        <v>4510.0517579999896</v>
      </c>
      <c r="CE6" s="165">
        <v>5186</v>
      </c>
      <c r="CF6" s="165">
        <v>1053.3914789999901</v>
      </c>
      <c r="CG6" s="165">
        <v>1285</v>
      </c>
      <c r="CH6" s="63">
        <f t="shared" si="9"/>
        <v>1.0000000388888395</v>
      </c>
      <c r="CI6" s="63">
        <f t="shared" si="10"/>
        <v>1.0076199547565186</v>
      </c>
      <c r="CJ6" s="10" t="s">
        <v>76</v>
      </c>
      <c r="CK6" s="10" t="s">
        <v>76</v>
      </c>
      <c r="CL6" s="4">
        <v>4956.79</v>
      </c>
      <c r="CM6" s="4">
        <v>5830</v>
      </c>
      <c r="CN6" s="4">
        <v>1185.25</v>
      </c>
      <c r="CO6" s="4">
        <v>1374</v>
      </c>
      <c r="CP6" s="4">
        <v>579.59500000000003</v>
      </c>
      <c r="CQ6" s="4">
        <v>702</v>
      </c>
      <c r="CR6" s="4">
        <v>993.17700000000002</v>
      </c>
      <c r="CS6" s="4">
        <v>1161</v>
      </c>
      <c r="CT6" s="4">
        <v>939.62400000000002</v>
      </c>
      <c r="CU6" s="4">
        <v>1118</v>
      </c>
      <c r="CV6" s="4">
        <v>506.47699999999998</v>
      </c>
      <c r="CW6" s="4">
        <v>593</v>
      </c>
      <c r="CX6" s="4">
        <v>752.66099999999994</v>
      </c>
      <c r="CY6" s="4">
        <v>882</v>
      </c>
      <c r="CZ6" s="63">
        <f t="shared" si="11"/>
        <v>1.0000012104622675</v>
      </c>
      <c r="DA6" s="55"/>
      <c r="DF6" s="55"/>
    </row>
    <row r="7" spans="1:110" s="10" customFormat="1">
      <c r="A7" s="6" t="s">
        <v>64</v>
      </c>
      <c r="B7" s="10" t="s">
        <v>3</v>
      </c>
      <c r="C7" s="51" t="s">
        <v>43</v>
      </c>
      <c r="D7" s="10" t="s">
        <v>55</v>
      </c>
      <c r="E7" s="10">
        <v>12</v>
      </c>
      <c r="F7" s="10">
        <v>2</v>
      </c>
      <c r="G7" s="10" t="s">
        <v>71</v>
      </c>
      <c r="H7" s="60">
        <v>8</v>
      </c>
      <c r="I7" s="91" t="s">
        <v>85</v>
      </c>
      <c r="J7" s="1" t="s">
        <v>76</v>
      </c>
      <c r="K7" s="1" t="s">
        <v>76</v>
      </c>
      <c r="L7" s="1" t="s">
        <v>76</v>
      </c>
      <c r="M7" s="1" t="s">
        <v>76</v>
      </c>
      <c r="N7" s="87" t="s">
        <v>92</v>
      </c>
      <c r="O7">
        <v>2520.748047</v>
      </c>
      <c r="P7" s="100">
        <v>14717</v>
      </c>
      <c r="Q7" s="54">
        <f t="shared" si="2"/>
        <v>0.17128137847387376</v>
      </c>
      <c r="R7" s="52" t="s">
        <v>102</v>
      </c>
      <c r="S7" s="10" t="s">
        <v>76</v>
      </c>
      <c r="T7" s="70">
        <v>79</v>
      </c>
      <c r="U7" s="133">
        <v>9</v>
      </c>
      <c r="V7" s="133">
        <v>70</v>
      </c>
      <c r="W7" s="61">
        <v>71</v>
      </c>
      <c r="X7" s="61">
        <v>69</v>
      </c>
      <c r="Y7" s="61">
        <v>61</v>
      </c>
      <c r="Z7" s="61">
        <v>74</v>
      </c>
      <c r="AA7" s="61">
        <v>43</v>
      </c>
      <c r="AB7" s="6" t="s">
        <v>76</v>
      </c>
      <c r="AC7" s="53">
        <v>58291817</v>
      </c>
      <c r="AD7" s="53">
        <f t="shared" si="12"/>
        <v>14231.400634765625</v>
      </c>
      <c r="AE7" s="53">
        <v>41707972.868699998</v>
      </c>
      <c r="AF7" s="132">
        <f t="shared" si="3"/>
        <v>0.71550305026003902</v>
      </c>
      <c r="AG7" s="58">
        <f t="shared" si="4"/>
        <v>3.2995812002063939E-2</v>
      </c>
      <c r="AH7" s="58">
        <f t="shared" si="0"/>
        <v>1.6464722862486954E-2</v>
      </c>
      <c r="AI7" s="58">
        <f t="shared" si="1"/>
        <v>0</v>
      </c>
      <c r="AJ7" s="53">
        <v>2479.2446289999898</v>
      </c>
      <c r="AK7" s="130">
        <v>14717</v>
      </c>
      <c r="AL7" s="53">
        <v>907.64373799999896</v>
      </c>
      <c r="AM7" s="130">
        <v>5036</v>
      </c>
      <c r="AN7" s="53">
        <v>1519.7182620000001</v>
      </c>
      <c r="AO7" s="53">
        <v>9425</v>
      </c>
      <c r="AP7" s="53">
        <v>498.84762599999902</v>
      </c>
      <c r="AQ7" s="130">
        <v>2935</v>
      </c>
      <c r="AR7" s="53">
        <v>253.059921</v>
      </c>
      <c r="AS7" s="130">
        <v>1534</v>
      </c>
      <c r="AT7" s="53">
        <v>602.02807600000006</v>
      </c>
      <c r="AU7" s="130">
        <v>3782</v>
      </c>
      <c r="AV7" s="53">
        <v>165.78256200000001</v>
      </c>
      <c r="AW7" s="130">
        <v>1174</v>
      </c>
      <c r="AX7" s="58">
        <f t="shared" si="5"/>
        <v>0</v>
      </c>
      <c r="AY7" s="10" t="s">
        <v>76</v>
      </c>
      <c r="AZ7">
        <f>360-60</f>
        <v>300</v>
      </c>
      <c r="BA7" s="6" t="s">
        <v>76</v>
      </c>
      <c r="BB7" s="10">
        <f t="shared" si="6"/>
        <v>0.99623118867372273</v>
      </c>
      <c r="BC7" s="4">
        <v>904.22299999999996</v>
      </c>
      <c r="BD7" s="4">
        <v>5029</v>
      </c>
      <c r="BE7" s="4">
        <v>246.97900000000001</v>
      </c>
      <c r="BF7" s="4">
        <v>1399</v>
      </c>
      <c r="BG7" s="4">
        <v>109.57899999999999</v>
      </c>
      <c r="BH7" s="4">
        <v>604</v>
      </c>
      <c r="BI7" s="4">
        <v>178.84</v>
      </c>
      <c r="BJ7" s="4">
        <v>1097</v>
      </c>
      <c r="BK7" s="4">
        <v>147.34100000000001</v>
      </c>
      <c r="BL7" s="4">
        <v>782</v>
      </c>
      <c r="BM7" s="4">
        <v>125.473</v>
      </c>
      <c r="BN7" s="4">
        <v>638</v>
      </c>
      <c r="BO7" s="4">
        <v>96.010400000000004</v>
      </c>
      <c r="BP7" s="4">
        <v>509</v>
      </c>
      <c r="BQ7" s="58">
        <f t="shared" si="7"/>
        <v>2.2306812064083373E-2</v>
      </c>
      <c r="BR7" s="87" t="s">
        <v>92</v>
      </c>
      <c r="BS7" s="59">
        <f t="shared" si="8"/>
        <v>0.9835352771375131</v>
      </c>
      <c r="BT7" s="165">
        <v>10462.856444999899</v>
      </c>
      <c r="BU7" s="165">
        <v>14717</v>
      </c>
      <c r="BV7" s="165">
        <v>3592.2958979999898</v>
      </c>
      <c r="BW7" s="165">
        <v>5036</v>
      </c>
      <c r="BX7" s="165">
        <v>6642.5625</v>
      </c>
      <c r="BY7" s="165">
        <v>9425</v>
      </c>
      <c r="BZ7" s="165">
        <v>2097.2795409999899</v>
      </c>
      <c r="CA7" s="165">
        <v>2935</v>
      </c>
      <c r="CB7" s="165">
        <v>1064.4144289999899</v>
      </c>
      <c r="CC7" s="165">
        <v>1534</v>
      </c>
      <c r="CD7" s="165">
        <v>2709.07006799999</v>
      </c>
      <c r="CE7" s="165">
        <v>3782</v>
      </c>
      <c r="CF7" s="165">
        <v>771.797729</v>
      </c>
      <c r="CG7" s="165">
        <v>1174</v>
      </c>
      <c r="CH7" s="63">
        <f t="shared" si="9"/>
        <v>1.0000001103489973</v>
      </c>
      <c r="CI7" s="63">
        <f t="shared" si="10"/>
        <v>1.0177027868058917</v>
      </c>
      <c r="CJ7" s="10" t="s">
        <v>76</v>
      </c>
      <c r="CK7" s="10" t="s">
        <v>76</v>
      </c>
      <c r="CL7" s="4">
        <v>3583.57</v>
      </c>
      <c r="CM7" s="4">
        <v>5029</v>
      </c>
      <c r="CN7" s="4">
        <v>1010.25</v>
      </c>
      <c r="CO7" s="4">
        <v>1399</v>
      </c>
      <c r="CP7" s="4">
        <v>426.82799999999997</v>
      </c>
      <c r="CQ7" s="4">
        <v>604</v>
      </c>
      <c r="CR7" s="4">
        <v>764.94399999999996</v>
      </c>
      <c r="CS7" s="4">
        <v>1097</v>
      </c>
      <c r="CT7" s="4">
        <v>567.20799999999997</v>
      </c>
      <c r="CU7" s="4">
        <v>782</v>
      </c>
      <c r="CV7" s="4">
        <v>446.65100000000001</v>
      </c>
      <c r="CW7" s="4">
        <v>638</v>
      </c>
      <c r="CX7" s="4">
        <v>367.68099999999998</v>
      </c>
      <c r="CY7" s="4">
        <v>509</v>
      </c>
      <c r="CZ7" s="63">
        <f t="shared" si="11"/>
        <v>1.0000022324156803</v>
      </c>
      <c r="DA7" s="55"/>
      <c r="DF7" s="55"/>
    </row>
    <row r="8" spans="1:110" s="10" customFormat="1">
      <c r="A8" s="6" t="s">
        <v>65</v>
      </c>
      <c r="B8" s="10" t="s">
        <v>3</v>
      </c>
      <c r="C8" s="51" t="s">
        <v>43</v>
      </c>
      <c r="D8" s="10" t="s">
        <v>68</v>
      </c>
      <c r="E8" s="10">
        <v>12</v>
      </c>
      <c r="F8" s="10">
        <v>2</v>
      </c>
      <c r="G8" s="10" t="s">
        <v>71</v>
      </c>
      <c r="H8" s="10">
        <v>8</v>
      </c>
      <c r="I8" s="1" t="s">
        <v>78</v>
      </c>
      <c r="J8" s="1" t="s">
        <v>76</v>
      </c>
      <c r="K8" s="1" t="s">
        <v>76</v>
      </c>
      <c r="L8" s="1" t="s">
        <v>76</v>
      </c>
      <c r="M8" s="1" t="s">
        <v>76</v>
      </c>
      <c r="N8" s="87" t="s">
        <v>92</v>
      </c>
      <c r="O8">
        <v>2523.7885740000002</v>
      </c>
      <c r="P8" s="100">
        <v>12703</v>
      </c>
      <c r="Q8" s="54">
        <f t="shared" si="2"/>
        <v>0.19867657828859325</v>
      </c>
      <c r="R8" s="52" t="s">
        <v>102</v>
      </c>
      <c r="S8" s="10" t="s">
        <v>76</v>
      </c>
      <c r="T8" s="51">
        <v>106</v>
      </c>
      <c r="U8" s="61">
        <v>27</v>
      </c>
      <c r="V8" s="61">
        <v>90</v>
      </c>
      <c r="W8" s="61">
        <v>89</v>
      </c>
      <c r="X8" s="61">
        <v>83</v>
      </c>
      <c r="Y8" s="61">
        <v>57</v>
      </c>
      <c r="Z8" s="61">
        <v>87</v>
      </c>
      <c r="AA8" s="61">
        <v>55</v>
      </c>
      <c r="AB8" s="6" t="s">
        <v>76</v>
      </c>
      <c r="AC8" s="53">
        <v>49865152</v>
      </c>
      <c r="AD8" s="53">
        <f t="shared" si="12"/>
        <v>12174.109375</v>
      </c>
      <c r="AE8" s="53">
        <v>38116291.636399999</v>
      </c>
      <c r="AF8" s="132">
        <f t="shared" si="3"/>
        <v>0.76438735484853226</v>
      </c>
      <c r="AG8" s="58">
        <f t="shared" si="4"/>
        <v>4.1635096040305443E-2</v>
      </c>
      <c r="AH8" s="58">
        <f t="shared" si="0"/>
        <v>2.0484282452417544E-2</v>
      </c>
      <c r="AI8" s="58">
        <f t="shared" si="1"/>
        <v>0</v>
      </c>
      <c r="AJ8" s="53">
        <v>2472.0905760000001</v>
      </c>
      <c r="AK8" s="130">
        <v>12703</v>
      </c>
      <c r="AL8" s="53">
        <v>1045.2178960000001</v>
      </c>
      <c r="AM8" s="130">
        <v>5022</v>
      </c>
      <c r="AN8" s="53">
        <v>1387.52124</v>
      </c>
      <c r="AO8" s="53">
        <v>7484</v>
      </c>
      <c r="AP8" s="53">
        <v>399.28414900000001</v>
      </c>
      <c r="AQ8" s="130">
        <v>1971</v>
      </c>
      <c r="AR8" s="53">
        <v>158.95893899999899</v>
      </c>
      <c r="AS8" s="130">
        <v>1151</v>
      </c>
      <c r="AT8" s="53">
        <v>723.34997599999895</v>
      </c>
      <c r="AU8" s="130">
        <v>3655</v>
      </c>
      <c r="AV8" s="53">
        <v>105.928391</v>
      </c>
      <c r="AW8" s="130">
        <v>707</v>
      </c>
      <c r="AX8" s="58">
        <f t="shared" si="5"/>
        <v>0</v>
      </c>
      <c r="AY8" s="10" t="s">
        <v>76</v>
      </c>
      <c r="AZ8">
        <f>360-74</f>
        <v>286</v>
      </c>
      <c r="BA8" s="6" t="s">
        <v>76</v>
      </c>
      <c r="BB8" s="10">
        <f t="shared" si="6"/>
        <v>0.99478778920562982</v>
      </c>
      <c r="BC8" s="4">
        <v>1039.77</v>
      </c>
      <c r="BD8" s="4">
        <v>5011</v>
      </c>
      <c r="BE8" s="4">
        <v>194.77199999999999</v>
      </c>
      <c r="BF8" s="4">
        <v>1014</v>
      </c>
      <c r="BG8" s="4">
        <v>63.595599999999997</v>
      </c>
      <c r="BH8" s="4">
        <v>342</v>
      </c>
      <c r="BI8" s="4">
        <v>239.70099999999999</v>
      </c>
      <c r="BJ8" s="4">
        <v>1217</v>
      </c>
      <c r="BK8" s="4">
        <v>230.221</v>
      </c>
      <c r="BL8" s="4">
        <v>1084</v>
      </c>
      <c r="BM8" s="4">
        <v>85.763800000000003</v>
      </c>
      <c r="BN8" s="4">
        <v>379</v>
      </c>
      <c r="BO8" s="4">
        <v>225.71799999999999</v>
      </c>
      <c r="BP8" s="4">
        <v>975</v>
      </c>
      <c r="BQ8" s="58">
        <f t="shared" si="7"/>
        <v>1.8121391438855671E-2</v>
      </c>
      <c r="BR8" s="87" t="s">
        <v>92</v>
      </c>
      <c r="BS8" s="59">
        <f t="shared" si="8"/>
        <v>0.97951571754758249</v>
      </c>
      <c r="BT8" s="165">
        <v>9651.3427730000003</v>
      </c>
      <c r="BU8" s="165">
        <v>12702</v>
      </c>
      <c r="BV8" s="165">
        <v>3861.7150879999899</v>
      </c>
      <c r="BW8" s="165">
        <v>5022</v>
      </c>
      <c r="BX8" s="165">
        <v>5603.8701170000004</v>
      </c>
      <c r="BY8" s="165">
        <v>7483</v>
      </c>
      <c r="BZ8" s="165">
        <v>1479.0407709999899</v>
      </c>
      <c r="CA8" s="165">
        <v>1970</v>
      </c>
      <c r="CB8" s="165">
        <v>833.528503</v>
      </c>
      <c r="CC8" s="165">
        <v>1151</v>
      </c>
      <c r="CD8" s="165">
        <v>2796.7253420000002</v>
      </c>
      <c r="CE8" s="165">
        <v>3655</v>
      </c>
      <c r="CF8" s="165">
        <v>494.57522599999902</v>
      </c>
      <c r="CG8" s="165">
        <v>707</v>
      </c>
      <c r="CH8" s="63">
        <f t="shared" si="9"/>
        <v>1.000000049073233</v>
      </c>
      <c r="CI8" s="63">
        <f t="shared" si="10"/>
        <v>1.0157536985205917</v>
      </c>
      <c r="CJ8" s="10" t="s">
        <v>76</v>
      </c>
      <c r="CK8" s="10" t="s">
        <v>76</v>
      </c>
      <c r="CL8" s="4">
        <v>3854.26</v>
      </c>
      <c r="CM8" s="4">
        <v>5011</v>
      </c>
      <c r="CN8" s="4">
        <v>775.351</v>
      </c>
      <c r="CO8" s="4">
        <v>1014</v>
      </c>
      <c r="CP8" s="4">
        <v>243.31800000000001</v>
      </c>
      <c r="CQ8" s="4">
        <v>342</v>
      </c>
      <c r="CR8" s="4">
        <v>937.63</v>
      </c>
      <c r="CS8" s="4">
        <v>1217</v>
      </c>
      <c r="CT8" s="4">
        <v>816.39800000000002</v>
      </c>
      <c r="CU8" s="4">
        <v>1084</v>
      </c>
      <c r="CV8" s="4">
        <v>299.35300000000001</v>
      </c>
      <c r="CW8" s="4">
        <v>379</v>
      </c>
      <c r="CX8" s="4">
        <v>782.21299999999997</v>
      </c>
      <c r="CY8" s="4">
        <v>975</v>
      </c>
      <c r="CZ8" s="63">
        <f t="shared" si="11"/>
        <v>0.99999922164107646</v>
      </c>
      <c r="DA8" s="55"/>
      <c r="DF8" s="55"/>
    </row>
    <row r="9" spans="1:110" s="10" customFormat="1">
      <c r="A9" s="6" t="s">
        <v>66</v>
      </c>
      <c r="B9" s="10" t="s">
        <v>3</v>
      </c>
      <c r="C9" s="51" t="s">
        <v>43</v>
      </c>
      <c r="D9" s="10" t="s">
        <v>68</v>
      </c>
      <c r="E9" s="10">
        <v>12</v>
      </c>
      <c r="F9" s="10">
        <v>2</v>
      </c>
      <c r="G9" s="10" t="s">
        <v>71</v>
      </c>
      <c r="H9" s="10">
        <v>8</v>
      </c>
      <c r="I9" s="91" t="s">
        <v>85</v>
      </c>
      <c r="J9" s="1" t="s">
        <v>76</v>
      </c>
      <c r="K9" s="1" t="s">
        <v>76</v>
      </c>
      <c r="L9" s="1" t="s">
        <v>76</v>
      </c>
      <c r="M9" s="1" t="s">
        <v>76</v>
      </c>
      <c r="N9" s="87" t="s">
        <v>92</v>
      </c>
      <c r="O9">
        <v>2844.5900879999999</v>
      </c>
      <c r="P9" s="100">
        <v>16001</v>
      </c>
      <c r="Q9" s="54">
        <f t="shared" si="2"/>
        <v>0.17777576951440535</v>
      </c>
      <c r="R9" s="52" t="s">
        <v>102</v>
      </c>
      <c r="S9" s="10" t="s">
        <v>76</v>
      </c>
      <c r="T9" s="51">
        <v>151</v>
      </c>
      <c r="U9" s="133">
        <v>146</v>
      </c>
      <c r="V9" s="133">
        <v>136</v>
      </c>
      <c r="W9" s="61">
        <v>144</v>
      </c>
      <c r="X9" s="61">
        <v>137</v>
      </c>
      <c r="Y9" s="61">
        <v>131</v>
      </c>
      <c r="Z9" s="61">
        <v>135</v>
      </c>
      <c r="AA9" s="61">
        <v>103</v>
      </c>
      <c r="AB9" s="6" t="s">
        <v>76</v>
      </c>
      <c r="AC9" s="53">
        <v>64075843</v>
      </c>
      <c r="AD9" s="53">
        <f t="shared" si="12"/>
        <v>15643.516357421875</v>
      </c>
      <c r="AE9" s="53">
        <v>46266584.616999999</v>
      </c>
      <c r="AF9" s="132">
        <f t="shared" si="3"/>
        <v>0.72205971003768143</v>
      </c>
      <c r="AG9" s="58">
        <f t="shared" si="4"/>
        <v>2.2341331327924818E-2</v>
      </c>
      <c r="AH9" s="58">
        <f t="shared" si="0"/>
        <v>1.9822183251592549E-2</v>
      </c>
      <c r="AI9" s="58">
        <f t="shared" si="1"/>
        <v>0</v>
      </c>
      <c r="AJ9" s="53">
        <v>2788.2041020000001</v>
      </c>
      <c r="AK9" s="130">
        <v>16001</v>
      </c>
      <c r="AL9" s="53">
        <v>898.70379600000001</v>
      </c>
      <c r="AM9" s="130">
        <v>4996</v>
      </c>
      <c r="AN9" s="53">
        <v>1842.4604489999899</v>
      </c>
      <c r="AO9" s="53">
        <v>10646</v>
      </c>
      <c r="AP9" s="53">
        <v>374.79119900000001</v>
      </c>
      <c r="AQ9" s="130">
        <v>2250</v>
      </c>
      <c r="AR9" s="53">
        <v>206.161224</v>
      </c>
      <c r="AS9" s="130">
        <v>1693</v>
      </c>
      <c r="AT9" s="53">
        <v>1047.3572999999899</v>
      </c>
      <c r="AU9" s="130">
        <v>5285</v>
      </c>
      <c r="AV9" s="53">
        <v>214.15097</v>
      </c>
      <c r="AW9" s="130">
        <v>1418</v>
      </c>
      <c r="AX9" s="58">
        <f t="shared" si="5"/>
        <v>0</v>
      </c>
      <c r="AY9" s="10" t="s">
        <v>76</v>
      </c>
      <c r="AZ9">
        <f>360-74</f>
        <v>286</v>
      </c>
      <c r="BA9" s="6" t="s">
        <v>76</v>
      </c>
      <c r="BB9" s="10">
        <f t="shared" si="6"/>
        <v>0.9772062874428985</v>
      </c>
      <c r="BC9" s="4">
        <v>878.21900000000005</v>
      </c>
      <c r="BD9" s="4">
        <v>4891</v>
      </c>
      <c r="BE9" s="4">
        <v>190.869</v>
      </c>
      <c r="BF9" s="4">
        <v>1141</v>
      </c>
      <c r="BG9" s="4">
        <v>71.482100000000003</v>
      </c>
      <c r="BH9" s="4">
        <v>478</v>
      </c>
      <c r="BI9" s="4">
        <v>200.643</v>
      </c>
      <c r="BJ9" s="4">
        <v>1132</v>
      </c>
      <c r="BK9" s="4">
        <v>197.75399999999999</v>
      </c>
      <c r="BL9" s="4">
        <v>1046</v>
      </c>
      <c r="BM9" s="4">
        <v>57.871299999999998</v>
      </c>
      <c r="BN9" s="4">
        <v>279</v>
      </c>
      <c r="BO9" s="4">
        <v>159.59899999999999</v>
      </c>
      <c r="BP9" s="4">
        <v>815</v>
      </c>
      <c r="BQ9" s="58">
        <f t="shared" si="7"/>
        <v>2.4218101161092982E-2</v>
      </c>
      <c r="BR9" s="87" t="s">
        <v>92</v>
      </c>
      <c r="BS9" s="59">
        <f t="shared" si="8"/>
        <v>0.98017781674840743</v>
      </c>
      <c r="BT9" s="165">
        <v>11507.898438</v>
      </c>
      <c r="BU9" s="165">
        <v>15997</v>
      </c>
      <c r="BV9" s="165">
        <v>3542.9584960000002</v>
      </c>
      <c r="BW9" s="165">
        <v>4995</v>
      </c>
      <c r="BX9" s="165">
        <v>7666.0888670000004</v>
      </c>
      <c r="BY9" s="165">
        <v>10645</v>
      </c>
      <c r="BZ9" s="165">
        <v>1558.42468299999</v>
      </c>
      <c r="CA9" s="165">
        <v>2250</v>
      </c>
      <c r="CB9" s="165">
        <v>1201.9123540000001</v>
      </c>
      <c r="CC9" s="165">
        <v>1693</v>
      </c>
      <c r="CD9" s="165">
        <v>3947.1240229999898</v>
      </c>
      <c r="CE9" s="165">
        <v>5284</v>
      </c>
      <c r="CF9" s="165">
        <v>958.62670900000001</v>
      </c>
      <c r="CG9" s="165">
        <v>1418</v>
      </c>
      <c r="CH9" s="63">
        <f t="shared" si="9"/>
        <v>1.0000001432282088</v>
      </c>
      <c r="CI9" s="63">
        <f t="shared" si="10"/>
        <v>1.0228260869565218</v>
      </c>
      <c r="CJ9" s="10" t="s">
        <v>76</v>
      </c>
      <c r="CK9" s="10" t="s">
        <v>76</v>
      </c>
      <c r="CL9" s="4">
        <v>3466.75</v>
      </c>
      <c r="CM9" s="4">
        <v>4891</v>
      </c>
      <c r="CN9" s="4">
        <v>781.93600000000004</v>
      </c>
      <c r="CO9" s="4">
        <v>1141</v>
      </c>
      <c r="CP9" s="4">
        <v>328.20600000000002</v>
      </c>
      <c r="CQ9" s="4">
        <v>478</v>
      </c>
      <c r="CR9" s="4">
        <v>803.00599999999997</v>
      </c>
      <c r="CS9" s="4">
        <v>1132</v>
      </c>
      <c r="CT9" s="4">
        <v>760.18200000000002</v>
      </c>
      <c r="CU9" s="4">
        <v>1046</v>
      </c>
      <c r="CV9" s="4">
        <v>204.48699999999999</v>
      </c>
      <c r="CW9" s="4">
        <v>279</v>
      </c>
      <c r="CX9" s="4">
        <v>588.93799999999999</v>
      </c>
      <c r="CY9" s="4">
        <v>815</v>
      </c>
      <c r="CZ9" s="63">
        <f t="shared" si="11"/>
        <v>0.99999855772905788</v>
      </c>
      <c r="DA9" s="55"/>
      <c r="DF9" s="55"/>
    </row>
    <row r="10" spans="1:110" s="10" customFormat="1">
      <c r="A10" s="6" t="s">
        <v>56</v>
      </c>
      <c r="B10" s="10" t="s">
        <v>2</v>
      </c>
      <c r="C10" s="51" t="s">
        <v>70</v>
      </c>
      <c r="D10" s="10" t="s">
        <v>68</v>
      </c>
      <c r="E10" s="10">
        <v>12</v>
      </c>
      <c r="F10" s="10">
        <v>2</v>
      </c>
      <c r="G10" s="10" t="s">
        <v>71</v>
      </c>
      <c r="H10" s="10">
        <v>8</v>
      </c>
      <c r="I10" s="1" t="s">
        <v>78</v>
      </c>
      <c r="J10" s="1" t="s">
        <v>76</v>
      </c>
      <c r="K10" s="1" t="s">
        <v>76</v>
      </c>
      <c r="L10" s="1" t="s">
        <v>76</v>
      </c>
      <c r="M10" s="1" t="s">
        <v>76</v>
      </c>
      <c r="N10" s="87" t="s">
        <v>92</v>
      </c>
      <c r="O10">
        <v>2051.720703</v>
      </c>
      <c r="P10" s="100">
        <v>11588</v>
      </c>
      <c r="Q10" s="54">
        <f t="shared" si="2"/>
        <v>0.17705563539868829</v>
      </c>
      <c r="R10" s="52" t="s">
        <v>102</v>
      </c>
      <c r="S10" s="10" t="s">
        <v>76</v>
      </c>
      <c r="T10" s="51">
        <v>85</v>
      </c>
      <c r="U10" s="6">
        <v>13</v>
      </c>
      <c r="V10" s="10">
        <v>76</v>
      </c>
      <c r="W10" s="10">
        <v>75</v>
      </c>
      <c r="X10" s="10">
        <v>71</v>
      </c>
      <c r="Y10" s="10">
        <v>69</v>
      </c>
      <c r="Z10" s="10">
        <v>73</v>
      </c>
      <c r="AA10" s="10">
        <v>45</v>
      </c>
      <c r="AB10" s="6" t="s">
        <v>76</v>
      </c>
      <c r="AC10" s="53">
        <v>45658020</v>
      </c>
      <c r="AD10" s="53">
        <f t="shared" si="12"/>
        <v>11146.9775390625</v>
      </c>
      <c r="AE10" s="53">
        <v>33824511.114500001</v>
      </c>
      <c r="AF10" s="132">
        <f t="shared" si="3"/>
        <v>0.74082299483201419</v>
      </c>
      <c r="AG10" s="58">
        <f t="shared" si="4"/>
        <v>3.805854857934933E-2</v>
      </c>
      <c r="AH10" s="58">
        <f t="shared" si="0"/>
        <v>1.4444454333709576E-2</v>
      </c>
      <c r="AI10" s="58">
        <f t="shared" si="1"/>
        <v>0</v>
      </c>
      <c r="AJ10" s="53">
        <v>2022.08471699999</v>
      </c>
      <c r="AK10" s="130">
        <v>11588</v>
      </c>
      <c r="AL10" s="53">
        <v>714.18280000000004</v>
      </c>
      <c r="AM10" s="130">
        <v>4185</v>
      </c>
      <c r="AN10" s="53">
        <v>1282.5667719999899</v>
      </c>
      <c r="AO10" s="53">
        <v>7254</v>
      </c>
      <c r="AP10" s="53">
        <v>356.86862200000002</v>
      </c>
      <c r="AQ10" s="130">
        <v>2072</v>
      </c>
      <c r="AR10" s="53">
        <v>248.96589700000001</v>
      </c>
      <c r="AS10" s="130">
        <v>1453</v>
      </c>
      <c r="AT10" s="53">
        <v>578.54632600000002</v>
      </c>
      <c r="AU10" s="130">
        <v>3010</v>
      </c>
      <c r="AV10" s="53">
        <v>98.186119000000005</v>
      </c>
      <c r="AW10" s="130">
        <v>719</v>
      </c>
      <c r="AX10" s="58">
        <f t="shared" si="5"/>
        <v>0</v>
      </c>
      <c r="AY10" s="10" t="s">
        <v>76</v>
      </c>
      <c r="AZ10">
        <f>360-87</f>
        <v>273</v>
      </c>
      <c r="BA10" s="6" t="s">
        <v>76</v>
      </c>
      <c r="BB10" s="10">
        <f t="shared" si="6"/>
        <v>1.0049163883532337</v>
      </c>
      <c r="BC10" s="4">
        <v>717.69399999999996</v>
      </c>
      <c r="BD10" s="4">
        <v>4164</v>
      </c>
      <c r="BE10" s="4">
        <v>142.74100000000001</v>
      </c>
      <c r="BF10" s="4">
        <v>943</v>
      </c>
      <c r="BG10" s="4">
        <v>63.739800000000002</v>
      </c>
      <c r="BH10" s="4">
        <v>415</v>
      </c>
      <c r="BI10" s="4">
        <v>170.22800000000001</v>
      </c>
      <c r="BJ10" s="4">
        <v>1010</v>
      </c>
      <c r="BK10" s="4">
        <v>165.59899999999999</v>
      </c>
      <c r="BL10" s="4">
        <v>896</v>
      </c>
      <c r="BM10" s="4">
        <v>68.1374</v>
      </c>
      <c r="BN10" s="4">
        <v>350</v>
      </c>
      <c r="BO10" s="4">
        <v>107.25</v>
      </c>
      <c r="BP10" s="4">
        <v>550</v>
      </c>
      <c r="BQ10" s="58">
        <f t="shared" si="7"/>
        <v>1.0792106194426001E-2</v>
      </c>
      <c r="BR10" s="87" t="s">
        <v>92</v>
      </c>
      <c r="BS10" s="59">
        <f t="shared" si="8"/>
        <v>0.98555554566629044</v>
      </c>
      <c r="BT10" s="165">
        <v>8528.8691409999901</v>
      </c>
      <c r="BU10" s="165">
        <v>11588</v>
      </c>
      <c r="BV10" s="165">
        <v>3089.1372070000002</v>
      </c>
      <c r="BW10" s="165">
        <v>4185</v>
      </c>
      <c r="BX10" s="165">
        <v>5311.0058589999899</v>
      </c>
      <c r="BY10" s="165">
        <v>7254</v>
      </c>
      <c r="BZ10" s="165">
        <v>1500.577393</v>
      </c>
      <c r="CA10" s="165">
        <v>2072</v>
      </c>
      <c r="CB10" s="165">
        <v>1057.323486</v>
      </c>
      <c r="CC10" s="165">
        <v>1453</v>
      </c>
      <c r="CD10" s="165">
        <v>2260.1604000000002</v>
      </c>
      <c r="CE10" s="165">
        <v>3010</v>
      </c>
      <c r="CF10" s="165">
        <v>492.94366500000001</v>
      </c>
      <c r="CG10" s="165">
        <v>719</v>
      </c>
      <c r="CH10" s="63">
        <f t="shared" si="9"/>
        <v>1.0000001722837768</v>
      </c>
      <c r="CI10" s="63">
        <f t="shared" si="10"/>
        <v>1.013025614127109</v>
      </c>
      <c r="CJ10" s="10" t="s">
        <v>76</v>
      </c>
      <c r="CK10" s="10" t="s">
        <v>76</v>
      </c>
      <c r="CL10" s="4">
        <v>3072.61</v>
      </c>
      <c r="CM10" s="4">
        <v>4164</v>
      </c>
      <c r="CN10" s="4">
        <v>681.35</v>
      </c>
      <c r="CO10" s="4">
        <v>943</v>
      </c>
      <c r="CP10" s="4">
        <v>283.666</v>
      </c>
      <c r="CQ10" s="4">
        <v>415</v>
      </c>
      <c r="CR10" s="4">
        <v>753.44200000000001</v>
      </c>
      <c r="CS10" s="4">
        <v>1010</v>
      </c>
      <c r="CT10" s="4">
        <v>661.08699999999999</v>
      </c>
      <c r="CU10" s="4">
        <v>896</v>
      </c>
      <c r="CV10" s="4">
        <v>268.16500000000002</v>
      </c>
      <c r="CW10" s="4">
        <v>350</v>
      </c>
      <c r="CX10" s="4">
        <v>424.89699999999999</v>
      </c>
      <c r="CY10" s="4">
        <v>550</v>
      </c>
      <c r="CZ10" s="63">
        <f t="shared" si="11"/>
        <v>1.0000009763695781</v>
      </c>
      <c r="DA10" s="55"/>
    </row>
    <row r="11" spans="1:110" s="10" customFormat="1">
      <c r="A11" s="6" t="s">
        <v>57</v>
      </c>
      <c r="B11" s="10" t="s">
        <v>2</v>
      </c>
      <c r="C11" s="51" t="s">
        <v>45</v>
      </c>
      <c r="D11" s="10" t="s">
        <v>68</v>
      </c>
      <c r="E11" s="10">
        <v>12</v>
      </c>
      <c r="F11" s="10">
        <v>2</v>
      </c>
      <c r="G11" s="10" t="s">
        <v>71</v>
      </c>
      <c r="H11" s="60">
        <v>8</v>
      </c>
      <c r="I11" s="1" t="s">
        <v>78</v>
      </c>
      <c r="J11" s="1" t="s">
        <v>76</v>
      </c>
      <c r="K11" s="1" t="s">
        <v>76</v>
      </c>
      <c r="L11" s="1" t="s">
        <v>76</v>
      </c>
      <c r="M11" s="1" t="s">
        <v>76</v>
      </c>
      <c r="N11" s="87" t="s">
        <v>92</v>
      </c>
      <c r="O11">
        <v>2538.5986330000001</v>
      </c>
      <c r="P11" s="100">
        <v>14020</v>
      </c>
      <c r="Q11" s="54">
        <f t="shared" si="2"/>
        <v>0.18106980263908704</v>
      </c>
      <c r="R11" s="52" t="s">
        <v>102</v>
      </c>
      <c r="S11" s="10" t="s">
        <v>76</v>
      </c>
      <c r="T11" s="51">
        <v>81</v>
      </c>
      <c r="U11" s="6">
        <v>9</v>
      </c>
      <c r="V11" s="10">
        <v>73</v>
      </c>
      <c r="W11" s="10">
        <v>74</v>
      </c>
      <c r="X11" s="10">
        <v>69</v>
      </c>
      <c r="Y11" s="10">
        <v>58</v>
      </c>
      <c r="Z11" s="10">
        <v>76</v>
      </c>
      <c r="AA11" s="10">
        <v>57</v>
      </c>
      <c r="AB11" s="6" t="s">
        <v>76</v>
      </c>
      <c r="AC11" s="53">
        <v>55297898</v>
      </c>
      <c r="AD11" s="53">
        <f t="shared" si="12"/>
        <v>13500.46337890625</v>
      </c>
      <c r="AE11" s="53">
        <v>43423451.804499999</v>
      </c>
      <c r="AF11" s="132">
        <f t="shared" si="3"/>
        <v>0.78526405840055613</v>
      </c>
      <c r="AG11" s="58">
        <f t="shared" si="4"/>
        <v>3.7056820334789589E-2</v>
      </c>
      <c r="AH11" s="58">
        <f t="shared" si="0"/>
        <v>2.0148969724908001E-2</v>
      </c>
      <c r="AI11" s="58">
        <f t="shared" si="1"/>
        <v>0</v>
      </c>
      <c r="AJ11" s="53">
        <v>2487.4484859999902</v>
      </c>
      <c r="AK11" s="130">
        <v>14020</v>
      </c>
      <c r="AL11" s="53">
        <v>767.01318400000002</v>
      </c>
      <c r="AM11" s="130">
        <v>4375</v>
      </c>
      <c r="AN11" s="53">
        <v>1644.8054199999899</v>
      </c>
      <c r="AO11" s="53">
        <v>9229</v>
      </c>
      <c r="AP11" s="53">
        <v>343.70727499999902</v>
      </c>
      <c r="AQ11" s="130">
        <v>2203</v>
      </c>
      <c r="AR11" s="53">
        <v>315.15197799999902</v>
      </c>
      <c r="AS11" s="130">
        <v>1653</v>
      </c>
      <c r="AT11" s="53">
        <v>748.08789100000001</v>
      </c>
      <c r="AU11" s="130">
        <v>3854</v>
      </c>
      <c r="AV11" s="53">
        <v>237.85823099999899</v>
      </c>
      <c r="AW11" s="130">
        <v>1519</v>
      </c>
      <c r="AX11" s="58">
        <f t="shared" si="5"/>
        <v>0</v>
      </c>
      <c r="AY11" s="10" t="s">
        <v>76</v>
      </c>
      <c r="AZ11">
        <f>360-74</f>
        <v>286</v>
      </c>
      <c r="BA11" s="6" t="s">
        <v>76</v>
      </c>
      <c r="BB11" s="10">
        <f t="shared" si="6"/>
        <v>0.97555559097143241</v>
      </c>
      <c r="BC11" s="4">
        <v>748.26400000000001</v>
      </c>
      <c r="BD11" s="4">
        <v>4268</v>
      </c>
      <c r="BE11" s="4">
        <v>112.43899999999999</v>
      </c>
      <c r="BF11" s="4">
        <v>804</v>
      </c>
      <c r="BG11" s="4">
        <v>73.223500000000001</v>
      </c>
      <c r="BH11" s="4">
        <v>501</v>
      </c>
      <c r="BI11" s="4">
        <v>169.87</v>
      </c>
      <c r="BJ11" s="4">
        <v>1001</v>
      </c>
      <c r="BK11" s="4">
        <v>175.69499999999999</v>
      </c>
      <c r="BL11" s="4">
        <v>859</v>
      </c>
      <c r="BM11" s="4">
        <v>101.402</v>
      </c>
      <c r="BN11" s="4">
        <v>522</v>
      </c>
      <c r="BO11" s="4">
        <v>115.634</v>
      </c>
      <c r="BP11" s="4">
        <v>581</v>
      </c>
      <c r="BQ11" s="58">
        <f t="shared" si="7"/>
        <v>3.7942337914206516E-2</v>
      </c>
      <c r="BR11" s="87" t="s">
        <v>92</v>
      </c>
      <c r="BS11" s="59">
        <f t="shared" si="8"/>
        <v>0.97985103027509202</v>
      </c>
      <c r="BT11" s="165">
        <v>10939.8642579999</v>
      </c>
      <c r="BU11" s="165">
        <v>14018</v>
      </c>
      <c r="BV11" s="165">
        <v>3373.9499510000001</v>
      </c>
      <c r="BW11" s="165">
        <v>4374</v>
      </c>
      <c r="BX11" s="165">
        <v>7169.1630859999896</v>
      </c>
      <c r="BY11" s="165">
        <v>9228</v>
      </c>
      <c r="BZ11" s="165">
        <v>1673.7928469999899</v>
      </c>
      <c r="CA11" s="165">
        <v>2203</v>
      </c>
      <c r="CB11" s="165">
        <v>1282.3126219999899</v>
      </c>
      <c r="CC11" s="165">
        <v>1653</v>
      </c>
      <c r="CD11" s="165">
        <v>3069.3852539999898</v>
      </c>
      <c r="CE11" s="165">
        <v>3853</v>
      </c>
      <c r="CF11" s="165">
        <v>1143.67309599999</v>
      </c>
      <c r="CG11" s="165">
        <v>1519</v>
      </c>
      <c r="CH11" s="63">
        <f t="shared" si="9"/>
        <v>0.99999989775656017</v>
      </c>
      <c r="CI11" s="63">
        <f t="shared" si="10"/>
        <v>1.0305837376856344</v>
      </c>
      <c r="CJ11" s="10" t="s">
        <v>76</v>
      </c>
      <c r="CK11" s="10" t="s">
        <v>76</v>
      </c>
      <c r="CL11" s="4">
        <v>3283.35</v>
      </c>
      <c r="CM11" s="4">
        <v>4268</v>
      </c>
      <c r="CN11" s="4">
        <v>608.84100000000001</v>
      </c>
      <c r="CO11" s="4">
        <v>804</v>
      </c>
      <c r="CP11" s="4">
        <v>353.46499999999997</v>
      </c>
      <c r="CQ11" s="4">
        <v>501</v>
      </c>
      <c r="CR11" s="4">
        <v>774.42</v>
      </c>
      <c r="CS11" s="4">
        <v>1001</v>
      </c>
      <c r="CT11" s="4">
        <v>668.12400000000002</v>
      </c>
      <c r="CU11" s="4">
        <v>859</v>
      </c>
      <c r="CV11" s="4">
        <v>415.63900000000001</v>
      </c>
      <c r="CW11" s="4">
        <v>522</v>
      </c>
      <c r="CX11" s="4">
        <v>462.85700000000003</v>
      </c>
      <c r="CY11" s="4">
        <v>581</v>
      </c>
      <c r="CZ11" s="63">
        <f t="shared" si="11"/>
        <v>1.0000012182694116</v>
      </c>
      <c r="DA11" s="55"/>
    </row>
    <row r="12" spans="1:110" s="10" customFormat="1">
      <c r="A12" s="6" t="s">
        <v>58</v>
      </c>
      <c r="B12" s="10" t="s">
        <v>2</v>
      </c>
      <c r="C12" s="51" t="s">
        <v>45</v>
      </c>
      <c r="D12" s="10" t="s">
        <v>68</v>
      </c>
      <c r="E12" s="10">
        <v>12</v>
      </c>
      <c r="F12" s="10">
        <v>2</v>
      </c>
      <c r="G12" s="10" t="s">
        <v>71</v>
      </c>
      <c r="H12" s="10">
        <v>8</v>
      </c>
      <c r="I12" s="1" t="s">
        <v>78</v>
      </c>
      <c r="J12" s="1" t="s">
        <v>76</v>
      </c>
      <c r="K12" s="1" t="s">
        <v>76</v>
      </c>
      <c r="L12" s="1" t="s">
        <v>76</v>
      </c>
      <c r="M12" s="1" t="s">
        <v>76</v>
      </c>
      <c r="N12" s="87" t="s">
        <v>92</v>
      </c>
      <c r="O12">
        <v>2797.4953609999998</v>
      </c>
      <c r="P12" s="100">
        <v>14758</v>
      </c>
      <c r="Q12" s="54">
        <f t="shared" si="2"/>
        <v>0.18955789138094592</v>
      </c>
      <c r="R12" s="52" t="s">
        <v>102</v>
      </c>
      <c r="S12" s="10" t="s">
        <v>76</v>
      </c>
      <c r="T12" s="51">
        <v>127</v>
      </c>
      <c r="U12" s="6">
        <v>15</v>
      </c>
      <c r="V12" s="10">
        <v>113</v>
      </c>
      <c r="W12" s="10">
        <v>114</v>
      </c>
      <c r="X12" s="10">
        <v>111</v>
      </c>
      <c r="Y12" s="10">
        <v>104</v>
      </c>
      <c r="Z12" s="10">
        <v>117</v>
      </c>
      <c r="AA12" s="10">
        <v>106</v>
      </c>
      <c r="AB12" s="6" t="s">
        <v>76</v>
      </c>
      <c r="AC12" s="53">
        <v>58600619</v>
      </c>
      <c r="AD12" s="53">
        <f t="shared" si="12"/>
        <v>14306.791748046875</v>
      </c>
      <c r="AE12" s="53">
        <v>45164118.409000002</v>
      </c>
      <c r="AF12" s="132">
        <f t="shared" si="3"/>
        <v>0.77071060305694039</v>
      </c>
      <c r="AG12" s="58">
        <f t="shared" si="4"/>
        <v>3.0573807558824027E-2</v>
      </c>
      <c r="AH12" s="58">
        <f t="shared" si="0"/>
        <v>1.6405927830955829E-2</v>
      </c>
      <c r="AI12" s="58">
        <f t="shared" si="1"/>
        <v>0</v>
      </c>
      <c r="AJ12" s="53">
        <v>2751.5998540000001</v>
      </c>
      <c r="AK12" s="130">
        <v>14758</v>
      </c>
      <c r="AL12" s="53">
        <v>756.00122099999896</v>
      </c>
      <c r="AM12" s="130">
        <v>4233</v>
      </c>
      <c r="AN12" s="53">
        <v>1913.9530030000001</v>
      </c>
      <c r="AO12" s="53">
        <v>10084</v>
      </c>
      <c r="AP12" s="53">
        <v>566.93615699999896</v>
      </c>
      <c r="AQ12" s="130">
        <v>3000</v>
      </c>
      <c r="AR12" s="53">
        <v>318.42596400000002</v>
      </c>
      <c r="AS12" s="130">
        <v>1680</v>
      </c>
      <c r="AT12" s="53">
        <v>814.716003</v>
      </c>
      <c r="AU12" s="130">
        <v>3907</v>
      </c>
      <c r="AV12" s="53">
        <v>213.87489299999899</v>
      </c>
      <c r="AW12" s="130">
        <v>1497</v>
      </c>
      <c r="AX12" s="58">
        <f t="shared" si="5"/>
        <v>0</v>
      </c>
      <c r="AY12" s="10" t="s">
        <v>76</v>
      </c>
      <c r="AZ12">
        <f>360-74</f>
        <v>286</v>
      </c>
      <c r="BA12" s="6" t="s">
        <v>76</v>
      </c>
      <c r="BB12" s="10">
        <f t="shared" si="6"/>
        <v>0.99311479815718584</v>
      </c>
      <c r="BC12" s="4">
        <v>750.79600000000005</v>
      </c>
      <c r="BD12" s="4">
        <v>4216</v>
      </c>
      <c r="BE12" s="4">
        <v>142.91200000000001</v>
      </c>
      <c r="BF12" s="4">
        <v>853</v>
      </c>
      <c r="BG12" s="4">
        <v>84.491100000000003</v>
      </c>
      <c r="BH12" s="4">
        <v>521</v>
      </c>
      <c r="BI12" s="4">
        <v>132.90899999999999</v>
      </c>
      <c r="BJ12" s="4">
        <v>777</v>
      </c>
      <c r="BK12" s="4">
        <v>190.55600000000001</v>
      </c>
      <c r="BL12" s="4">
        <v>994</v>
      </c>
      <c r="BM12" s="4">
        <v>57.8429</v>
      </c>
      <c r="BN12" s="4">
        <v>306</v>
      </c>
      <c r="BO12" s="4">
        <v>142.08500000000001</v>
      </c>
      <c r="BP12" s="4">
        <v>765</v>
      </c>
      <c r="BQ12" s="58">
        <f t="shared" si="7"/>
        <v>3.1563759851835557E-2</v>
      </c>
      <c r="BR12" s="87" t="s">
        <v>92</v>
      </c>
      <c r="BS12" s="59">
        <f t="shared" si="8"/>
        <v>0.98359407216904415</v>
      </c>
      <c r="BT12" s="165">
        <v>11322.737305000001</v>
      </c>
      <c r="BU12" s="165">
        <v>14758</v>
      </c>
      <c r="BV12" s="165">
        <v>3126.8000489999899</v>
      </c>
      <c r="BW12" s="165">
        <v>4233</v>
      </c>
      <c r="BX12" s="165">
        <v>7780.7348629999897</v>
      </c>
      <c r="BY12" s="165">
        <v>10084</v>
      </c>
      <c r="BZ12" s="165">
        <v>2274.7211910000001</v>
      </c>
      <c r="CA12" s="165">
        <v>3000</v>
      </c>
      <c r="CB12" s="165">
        <v>1291.592529</v>
      </c>
      <c r="CC12" s="165">
        <v>1680</v>
      </c>
      <c r="CD12" s="165">
        <v>3116.0541990000002</v>
      </c>
      <c r="CE12" s="165">
        <v>3907</v>
      </c>
      <c r="CF12" s="165">
        <v>1098.366211</v>
      </c>
      <c r="CG12" s="165">
        <v>1497</v>
      </c>
      <c r="CH12" s="63">
        <f>BX12/(BZ12+CB12+CD12+CF12)</f>
        <v>1.0000000942070475</v>
      </c>
      <c r="CI12" s="63">
        <f t="shared" si="10"/>
        <v>1.0308025424320737</v>
      </c>
      <c r="CJ12" s="10" t="s">
        <v>76</v>
      </c>
      <c r="CK12" s="10" t="s">
        <v>76</v>
      </c>
      <c r="CL12" s="4">
        <v>3113.3</v>
      </c>
      <c r="CM12" s="4">
        <v>4216</v>
      </c>
      <c r="CN12" s="4">
        <v>627.86</v>
      </c>
      <c r="CO12" s="4">
        <v>853</v>
      </c>
      <c r="CP12" s="4">
        <v>365.12400000000002</v>
      </c>
      <c r="CQ12" s="4">
        <v>521</v>
      </c>
      <c r="CR12" s="4">
        <v>569.69399999999996</v>
      </c>
      <c r="CS12" s="4">
        <v>777</v>
      </c>
      <c r="CT12" s="4">
        <v>737.58399999999995</v>
      </c>
      <c r="CU12" s="4">
        <v>994</v>
      </c>
      <c r="CV12" s="4">
        <v>230.24799999999999</v>
      </c>
      <c r="CW12" s="4">
        <v>306</v>
      </c>
      <c r="CX12" s="4">
        <v>582.78800000000001</v>
      </c>
      <c r="CY12" s="4">
        <v>765</v>
      </c>
      <c r="CZ12" s="63">
        <f t="shared" si="11"/>
        <v>1.0000006424055778</v>
      </c>
      <c r="DA12" s="55"/>
    </row>
    <row r="13" spans="1:110" s="10" customFormat="1">
      <c r="A13" s="6" t="s">
        <v>59</v>
      </c>
      <c r="B13" s="10" t="s">
        <v>2</v>
      </c>
      <c r="C13" s="51" t="s">
        <v>45</v>
      </c>
      <c r="D13" s="10" t="s">
        <v>55</v>
      </c>
      <c r="E13" s="10">
        <v>12</v>
      </c>
      <c r="F13" s="10">
        <v>2</v>
      </c>
      <c r="G13" s="10" t="s">
        <v>71</v>
      </c>
      <c r="H13" s="10">
        <v>8</v>
      </c>
      <c r="I13" s="1" t="s">
        <v>78</v>
      </c>
      <c r="J13" s="1" t="s">
        <v>76</v>
      </c>
      <c r="K13" s="1" t="s">
        <v>76</v>
      </c>
      <c r="L13" s="1" t="s">
        <v>76</v>
      </c>
      <c r="M13" s="1" t="s">
        <v>76</v>
      </c>
      <c r="N13" s="87" t="s">
        <v>92</v>
      </c>
      <c r="O13">
        <v>3043.2138669999999</v>
      </c>
      <c r="P13" s="100">
        <v>17727</v>
      </c>
      <c r="Q13" s="54">
        <f t="shared" si="2"/>
        <v>0.17167111564280477</v>
      </c>
      <c r="R13" s="52" t="s">
        <v>102</v>
      </c>
      <c r="S13" s="10" t="s">
        <v>76</v>
      </c>
      <c r="T13" s="51">
        <v>163</v>
      </c>
      <c r="U13" s="6">
        <v>15</v>
      </c>
      <c r="V13" s="10">
        <v>150</v>
      </c>
      <c r="W13" s="10">
        <v>151</v>
      </c>
      <c r="X13" s="10">
        <v>148</v>
      </c>
      <c r="Y13" s="10">
        <v>134</v>
      </c>
      <c r="Z13" s="10">
        <v>154</v>
      </c>
      <c r="AA13" s="10">
        <v>116</v>
      </c>
      <c r="AB13" s="6" t="s">
        <v>76</v>
      </c>
      <c r="AC13" s="53">
        <v>67172382</v>
      </c>
      <c r="AD13" s="53">
        <f t="shared" si="12"/>
        <v>16399.50732421875</v>
      </c>
      <c r="AE13" s="53">
        <v>55298177.899999999</v>
      </c>
      <c r="AF13" s="132">
        <f t="shared" si="3"/>
        <v>0.82322788404317715</v>
      </c>
      <c r="AG13" s="58">
        <f t="shared" si="4"/>
        <v>7.4885354305931628E-2</v>
      </c>
      <c r="AH13" s="58">
        <f t="shared" si="0"/>
        <v>2.0886635898077682E-2</v>
      </c>
      <c r="AI13" s="58">
        <f t="shared" si="1"/>
        <v>0</v>
      </c>
      <c r="AJ13" s="53">
        <v>2979.6513669999899</v>
      </c>
      <c r="AK13" s="130">
        <v>17727</v>
      </c>
      <c r="AL13" s="53">
        <v>963.35040300000003</v>
      </c>
      <c r="AM13" s="130">
        <v>5700</v>
      </c>
      <c r="AN13" s="53">
        <v>1968.0972899999899</v>
      </c>
      <c r="AO13" s="53">
        <v>11687</v>
      </c>
      <c r="AP13" s="53">
        <v>694.04284700000005</v>
      </c>
      <c r="AQ13" s="130">
        <v>3924</v>
      </c>
      <c r="AR13" s="53">
        <v>292.96560699999901</v>
      </c>
      <c r="AS13" s="130">
        <v>1697</v>
      </c>
      <c r="AT13" s="53">
        <v>873.11431900000002</v>
      </c>
      <c r="AU13" s="130">
        <v>5227</v>
      </c>
      <c r="AV13" s="53">
        <v>107.974959999999</v>
      </c>
      <c r="AW13" s="130">
        <v>839</v>
      </c>
      <c r="AX13" s="58">
        <f t="shared" si="5"/>
        <v>0</v>
      </c>
      <c r="AY13" s="10" t="s">
        <v>76</v>
      </c>
      <c r="AZ13">
        <f>360-110</f>
        <v>250</v>
      </c>
      <c r="BA13" s="6" t="s">
        <v>76</v>
      </c>
      <c r="BB13" s="10">
        <f t="shared" si="6"/>
        <v>1.0041372246148321</v>
      </c>
      <c r="BC13" s="4">
        <v>967.33600000000001</v>
      </c>
      <c r="BD13" s="4">
        <v>5701</v>
      </c>
      <c r="BE13" s="4">
        <v>266.68</v>
      </c>
      <c r="BF13" s="4">
        <v>1487</v>
      </c>
      <c r="BG13" s="4">
        <v>74.304199999999994</v>
      </c>
      <c r="BH13" s="4">
        <v>524</v>
      </c>
      <c r="BI13" s="4">
        <v>224.745</v>
      </c>
      <c r="BJ13" s="4">
        <v>1439</v>
      </c>
      <c r="BK13" s="4">
        <v>180.63900000000001</v>
      </c>
      <c r="BL13" s="4">
        <v>1044</v>
      </c>
      <c r="BM13" s="4">
        <v>122.002</v>
      </c>
      <c r="BN13" s="4">
        <v>615</v>
      </c>
      <c r="BO13" s="4">
        <v>98.966099999999997</v>
      </c>
      <c r="BP13" s="4">
        <v>592</v>
      </c>
      <c r="BQ13" s="58">
        <f t="shared" si="7"/>
        <v>1.4839767661983624E-2</v>
      </c>
      <c r="BR13" s="87" t="s">
        <v>92</v>
      </c>
      <c r="BS13" s="59">
        <f t="shared" si="8"/>
        <v>0.97911336410192229</v>
      </c>
      <c r="BT13" s="165">
        <v>14550.2041019999</v>
      </c>
      <c r="BU13" s="165">
        <v>17726</v>
      </c>
      <c r="BV13" s="165">
        <v>4550.2983400000003</v>
      </c>
      <c r="BW13" s="166">
        <v>5700</v>
      </c>
      <c r="BX13" s="165">
        <v>9666.0654300000006</v>
      </c>
      <c r="BY13" s="165">
        <v>11686</v>
      </c>
      <c r="BZ13" s="165">
        <v>3294.685547</v>
      </c>
      <c r="CA13" s="165">
        <v>3923</v>
      </c>
      <c r="CB13" s="165">
        <v>1412.158081</v>
      </c>
      <c r="CC13" s="165">
        <v>1697</v>
      </c>
      <c r="CD13" s="165">
        <v>4306.2163090000004</v>
      </c>
      <c r="CE13" s="165">
        <v>5227</v>
      </c>
      <c r="CF13" s="165">
        <v>653.00482199999897</v>
      </c>
      <c r="CG13" s="165">
        <v>839</v>
      </c>
      <c r="CH13" s="63">
        <f t="shared" si="9"/>
        <v>1.0000000694181155</v>
      </c>
      <c r="CI13" s="63">
        <f t="shared" si="10"/>
        <v>1.0195559645691936</v>
      </c>
      <c r="CJ13" s="10" t="s">
        <v>76</v>
      </c>
      <c r="CK13" s="10" t="s">
        <v>76</v>
      </c>
      <c r="CL13" s="4">
        <v>4550.97</v>
      </c>
      <c r="CM13" s="4">
        <v>5701</v>
      </c>
      <c r="CN13" s="4">
        <v>1214</v>
      </c>
      <c r="CO13" s="4">
        <v>1487</v>
      </c>
      <c r="CP13" s="4">
        <v>417.322</v>
      </c>
      <c r="CQ13" s="4">
        <v>524</v>
      </c>
      <c r="CR13" s="4">
        <v>1132.4000000000001</v>
      </c>
      <c r="CS13" s="4">
        <v>1439</v>
      </c>
      <c r="CT13" s="4">
        <v>824.01</v>
      </c>
      <c r="CU13" s="4">
        <v>1044</v>
      </c>
      <c r="CV13" s="4">
        <v>485.01799999999997</v>
      </c>
      <c r="CW13" s="4">
        <v>615</v>
      </c>
      <c r="CX13" s="4">
        <v>478.22699999999998</v>
      </c>
      <c r="CY13" s="4">
        <v>592</v>
      </c>
      <c r="CZ13" s="63">
        <f t="shared" si="11"/>
        <v>0.99999846186873731</v>
      </c>
      <c r="DA13" s="55"/>
      <c r="DF13" s="55"/>
    </row>
    <row r="14" spans="1:110" s="10" customFormat="1">
      <c r="A14" s="6" t="s">
        <v>60</v>
      </c>
      <c r="B14" s="10" t="s">
        <v>2</v>
      </c>
      <c r="C14" s="51" t="s">
        <v>45</v>
      </c>
      <c r="D14" s="10" t="s">
        <v>55</v>
      </c>
      <c r="E14" s="10">
        <v>12</v>
      </c>
      <c r="F14" s="10">
        <v>2</v>
      </c>
      <c r="G14" s="10" t="s">
        <v>71</v>
      </c>
      <c r="H14" s="10">
        <v>8</v>
      </c>
      <c r="I14" s="1" t="s">
        <v>78</v>
      </c>
      <c r="J14" s="1" t="s">
        <v>76</v>
      </c>
      <c r="K14" s="1" t="s">
        <v>76</v>
      </c>
      <c r="L14" s="1" t="s">
        <v>76</v>
      </c>
      <c r="M14" s="1" t="s">
        <v>76</v>
      </c>
      <c r="N14" s="87" t="s">
        <v>92</v>
      </c>
      <c r="O14">
        <v>3359.8439939999998</v>
      </c>
      <c r="P14" s="100">
        <v>19092</v>
      </c>
      <c r="Q14" s="54">
        <f t="shared" si="2"/>
        <v>0.17598177215587679</v>
      </c>
      <c r="R14" s="52" t="s">
        <v>102</v>
      </c>
      <c r="S14" s="10" t="s">
        <v>76</v>
      </c>
      <c r="T14" s="51">
        <v>140</v>
      </c>
      <c r="U14" s="6">
        <v>18</v>
      </c>
      <c r="V14" s="10">
        <v>130</v>
      </c>
      <c r="W14" s="10">
        <v>129</v>
      </c>
      <c r="X14" s="10">
        <v>125</v>
      </c>
      <c r="Y14" s="10">
        <v>123</v>
      </c>
      <c r="Z14" s="10">
        <v>126</v>
      </c>
      <c r="AA14" s="10">
        <v>95</v>
      </c>
      <c r="AB14" s="6" t="s">
        <v>76</v>
      </c>
      <c r="AC14" s="53">
        <v>72409054</v>
      </c>
      <c r="AD14" s="53">
        <f t="shared" si="12"/>
        <v>17677.99169921875</v>
      </c>
      <c r="AE14" s="53">
        <v>61816933.170000002</v>
      </c>
      <c r="AF14" s="132">
        <f t="shared" si="3"/>
        <v>0.85371828183254539</v>
      </c>
      <c r="AG14" s="58">
        <f t="shared" si="4"/>
        <v>7.4062869305533727E-2</v>
      </c>
      <c r="AH14" s="58">
        <f t="shared" si="0"/>
        <v>1.6345683043047236E-2</v>
      </c>
      <c r="AI14" s="58">
        <f t="shared" si="1"/>
        <v>0</v>
      </c>
      <c r="AJ14" s="53">
        <v>3304.9250489999899</v>
      </c>
      <c r="AK14" s="130">
        <v>19092</v>
      </c>
      <c r="AL14" s="53">
        <v>1090.0589600000001</v>
      </c>
      <c r="AM14" s="130">
        <v>6003</v>
      </c>
      <c r="AN14" s="53">
        <v>2177.561768</v>
      </c>
      <c r="AO14" s="53">
        <v>12842</v>
      </c>
      <c r="AP14" s="53">
        <v>613.859375</v>
      </c>
      <c r="AQ14" s="130">
        <v>3487</v>
      </c>
      <c r="AR14" s="53">
        <v>420.77441399999901</v>
      </c>
      <c r="AS14" s="130">
        <v>2588</v>
      </c>
      <c r="AT14" s="53">
        <v>871.61041299999897</v>
      </c>
      <c r="AU14" s="130">
        <v>4985</v>
      </c>
      <c r="AV14" s="53">
        <v>271.31781000000001</v>
      </c>
      <c r="AW14" s="130">
        <v>1782</v>
      </c>
      <c r="AX14" s="58">
        <f t="shared" si="5"/>
        <v>0</v>
      </c>
      <c r="AY14" s="10" t="s">
        <v>76</v>
      </c>
      <c r="AZ14">
        <f>360-58</f>
        <v>302</v>
      </c>
      <c r="BA14" s="6" t="s">
        <v>76</v>
      </c>
      <c r="BB14" s="10">
        <f t="shared" si="6"/>
        <v>0.996624989899629</v>
      </c>
      <c r="BC14" s="4">
        <v>1086.3800000000001</v>
      </c>
      <c r="BD14" s="4">
        <v>5992</v>
      </c>
      <c r="BE14" s="4">
        <v>216.95599999999999</v>
      </c>
      <c r="BF14" s="4">
        <v>1237</v>
      </c>
      <c r="BG14" s="4">
        <v>157.13999999999999</v>
      </c>
      <c r="BH14" s="4">
        <v>877</v>
      </c>
      <c r="BI14" s="4">
        <v>211.02799999999999</v>
      </c>
      <c r="BJ14" s="4">
        <v>1141</v>
      </c>
      <c r="BK14" s="4">
        <v>253.41200000000001</v>
      </c>
      <c r="BL14" s="4">
        <v>1405</v>
      </c>
      <c r="BM14" s="4">
        <v>89.052899999999994</v>
      </c>
      <c r="BN14" s="4">
        <v>422</v>
      </c>
      <c r="BO14" s="4">
        <v>158.78899999999999</v>
      </c>
      <c r="BP14" s="4">
        <v>910</v>
      </c>
      <c r="BQ14" s="58">
        <f t="shared" si="7"/>
        <v>1.2401230403816054E-2</v>
      </c>
      <c r="BR14" s="87" t="s">
        <v>92</v>
      </c>
      <c r="BS14" s="59">
        <f t="shared" si="8"/>
        <v>0.98365431695695271</v>
      </c>
      <c r="BT14" s="165">
        <v>16299.549805000001</v>
      </c>
      <c r="BU14" s="165">
        <v>19092</v>
      </c>
      <c r="BV14" s="165">
        <v>5121.5874020000001</v>
      </c>
      <c r="BW14" s="165">
        <v>6003</v>
      </c>
      <c r="BX14" s="165">
        <v>10934.542969</v>
      </c>
      <c r="BY14" s="165">
        <v>12842</v>
      </c>
      <c r="BZ14" s="165">
        <v>2976.5812989999899</v>
      </c>
      <c r="CA14" s="165">
        <v>3487</v>
      </c>
      <c r="CB14" s="165">
        <v>2188.8496089999899</v>
      </c>
      <c r="CC14" s="165">
        <v>2588</v>
      </c>
      <c r="CD14" s="165">
        <v>4282.3183589999899</v>
      </c>
      <c r="CE14" s="165">
        <v>4985</v>
      </c>
      <c r="CF14" s="165">
        <v>1486.7929690000001</v>
      </c>
      <c r="CG14" s="165">
        <v>1782</v>
      </c>
      <c r="CH14" s="63">
        <f t="shared" si="9"/>
        <v>1.0000000670352736</v>
      </c>
      <c r="CI14" s="63">
        <f t="shared" si="10"/>
        <v>1.0131069249137703</v>
      </c>
      <c r="CJ14" s="10" t="s">
        <v>76</v>
      </c>
      <c r="CK14" s="10" t="s">
        <v>76</v>
      </c>
      <c r="CL14" s="4">
        <v>5110.5</v>
      </c>
      <c r="CM14" s="4">
        <v>5992</v>
      </c>
      <c r="CN14" s="4">
        <v>1050.76</v>
      </c>
      <c r="CO14" s="4">
        <v>1237</v>
      </c>
      <c r="CP14" s="4">
        <v>716.29399999999998</v>
      </c>
      <c r="CQ14" s="4">
        <v>877</v>
      </c>
      <c r="CR14" s="4">
        <v>979.83699999999999</v>
      </c>
      <c r="CS14" s="4">
        <v>1141</v>
      </c>
      <c r="CT14" s="4">
        <v>1201.78</v>
      </c>
      <c r="CU14" s="4">
        <v>1405</v>
      </c>
      <c r="CV14" s="4">
        <v>367.73200000000003</v>
      </c>
      <c r="CW14" s="4">
        <v>422</v>
      </c>
      <c r="CX14" s="4">
        <v>794.1</v>
      </c>
      <c r="CY14" s="4">
        <v>910</v>
      </c>
      <c r="CZ14" s="63">
        <f t="shared" si="11"/>
        <v>0.99999941297363482</v>
      </c>
      <c r="DA14" s="55"/>
      <c r="DF14" s="55"/>
    </row>
    <row r="15" spans="1:110" s="10" customFormat="1">
      <c r="A15" s="6" t="s">
        <v>61</v>
      </c>
      <c r="B15" s="10" t="s">
        <v>2</v>
      </c>
      <c r="C15" s="51" t="s">
        <v>45</v>
      </c>
      <c r="D15" s="10" t="s">
        <v>55</v>
      </c>
      <c r="E15" s="10">
        <v>12</v>
      </c>
      <c r="F15" s="10">
        <v>2</v>
      </c>
      <c r="G15" s="10" t="s">
        <v>71</v>
      </c>
      <c r="H15" s="10">
        <v>8</v>
      </c>
      <c r="I15" s="1" t="s">
        <v>78</v>
      </c>
      <c r="J15" s="1" t="s">
        <v>76</v>
      </c>
      <c r="K15" s="1" t="s">
        <v>76</v>
      </c>
      <c r="L15" s="1" t="s">
        <v>76</v>
      </c>
      <c r="M15" s="1" t="s">
        <v>76</v>
      </c>
      <c r="N15" s="87" t="s">
        <v>92</v>
      </c>
      <c r="O15">
        <v>2909.4147950000001</v>
      </c>
      <c r="P15" s="100">
        <v>15139</v>
      </c>
      <c r="Q15" s="54">
        <f t="shared" si="2"/>
        <v>0.19218011724684592</v>
      </c>
      <c r="R15" s="52" t="s">
        <v>102</v>
      </c>
      <c r="S15" s="10" t="s">
        <v>76</v>
      </c>
      <c r="T15" s="51">
        <v>113</v>
      </c>
      <c r="U15" s="6">
        <v>17</v>
      </c>
      <c r="V15" s="10">
        <v>99</v>
      </c>
      <c r="W15" s="10">
        <v>98</v>
      </c>
      <c r="X15" s="10">
        <v>87</v>
      </c>
      <c r="Y15" s="10">
        <v>88</v>
      </c>
      <c r="Z15" s="10">
        <v>95</v>
      </c>
      <c r="AA15" s="10">
        <v>3</v>
      </c>
      <c r="AB15" s="6" t="s">
        <v>76</v>
      </c>
      <c r="AC15" s="53">
        <v>59395517</v>
      </c>
      <c r="AD15" s="53">
        <f t="shared" si="12"/>
        <v>14500.858642578125</v>
      </c>
      <c r="AE15" s="53">
        <v>48416623.399999999</v>
      </c>
      <c r="AF15" s="132">
        <f t="shared" si="3"/>
        <v>0.81515619099670433</v>
      </c>
      <c r="AG15" s="58">
        <f t="shared" si="4"/>
        <v>4.2152147263483389E-2</v>
      </c>
      <c r="AH15" s="58">
        <f t="shared" si="0"/>
        <v>1.7431370764717624E-2</v>
      </c>
      <c r="AI15" s="58">
        <f t="shared" si="1"/>
        <v>0</v>
      </c>
      <c r="AJ15" s="53">
        <v>2858.6997070000002</v>
      </c>
      <c r="AK15" s="130">
        <v>15139</v>
      </c>
      <c r="AL15" s="53">
        <v>1055.3164059999899</v>
      </c>
      <c r="AM15" s="130">
        <v>5289</v>
      </c>
      <c r="AN15" s="53">
        <v>1764.2089840000001</v>
      </c>
      <c r="AO15" s="53">
        <v>9582</v>
      </c>
      <c r="AP15" s="53">
        <v>374.12631199999902</v>
      </c>
      <c r="AQ15" s="130">
        <v>1986</v>
      </c>
      <c r="AR15" s="53">
        <v>304.69009399999902</v>
      </c>
      <c r="AS15" s="130">
        <v>1693</v>
      </c>
      <c r="AT15" s="53">
        <v>908.23541299999897</v>
      </c>
      <c r="AU15" s="130">
        <v>4721</v>
      </c>
      <c r="AV15" s="53">
        <v>177.15713500000001</v>
      </c>
      <c r="AW15" s="130">
        <v>1182</v>
      </c>
      <c r="AX15" s="58">
        <f t="shared" si="5"/>
        <v>0</v>
      </c>
      <c r="AY15" s="10" t="s">
        <v>76</v>
      </c>
      <c r="AZ15">
        <f>360-95</f>
        <v>265</v>
      </c>
      <c r="BA15" s="6" t="s">
        <v>76</v>
      </c>
      <c r="BB15" s="10">
        <f t="shared" si="6"/>
        <v>0.9961656940259962</v>
      </c>
      <c r="BC15" s="4">
        <v>1051.27</v>
      </c>
      <c r="BD15" s="4">
        <v>5279</v>
      </c>
      <c r="BE15" s="4">
        <v>231.238</v>
      </c>
      <c r="BF15" s="4">
        <v>1271</v>
      </c>
      <c r="BG15" s="4">
        <v>114.202</v>
      </c>
      <c r="BH15" s="4">
        <v>579</v>
      </c>
      <c r="BI15" s="4">
        <v>243.18100000000001</v>
      </c>
      <c r="BJ15" s="4">
        <v>1259</v>
      </c>
      <c r="BK15" s="4">
        <v>215.11</v>
      </c>
      <c r="BL15" s="4">
        <v>1053</v>
      </c>
      <c r="BM15" s="4">
        <v>89.652299999999997</v>
      </c>
      <c r="BN15" s="4">
        <v>403</v>
      </c>
      <c r="BO15" s="4">
        <v>157.88900000000001</v>
      </c>
      <c r="BP15" s="4">
        <v>714</v>
      </c>
      <c r="BQ15" s="58">
        <f t="shared" si="7"/>
        <v>1.5118220670109258E-2</v>
      </c>
      <c r="BR15" s="87" t="s">
        <v>92</v>
      </c>
      <c r="BS15" s="59">
        <f t="shared" si="8"/>
        <v>0.98256862923528232</v>
      </c>
      <c r="BT15" s="165">
        <v>12290.96875</v>
      </c>
      <c r="BU15" s="165">
        <v>15138</v>
      </c>
      <c r="BV15" s="165">
        <v>4281.2778319999898</v>
      </c>
      <c r="BW15" s="165">
        <v>5289</v>
      </c>
      <c r="BX15" s="165">
        <v>7752.9951170000004</v>
      </c>
      <c r="BY15" s="165">
        <v>9581</v>
      </c>
      <c r="BZ15" s="165">
        <v>1555.12536599999</v>
      </c>
      <c r="CA15" s="165">
        <v>1986</v>
      </c>
      <c r="CB15" s="165">
        <v>1347.57592799999</v>
      </c>
      <c r="CC15" s="165">
        <v>1693</v>
      </c>
      <c r="CD15" s="165">
        <v>3915.5346679999898</v>
      </c>
      <c r="CE15" s="165">
        <v>4720</v>
      </c>
      <c r="CF15" s="165">
        <v>934.75976600000001</v>
      </c>
      <c r="CG15" s="165">
        <v>1182</v>
      </c>
      <c r="CH15" s="63">
        <f t="shared" si="9"/>
        <v>0.99999992119175729</v>
      </c>
      <c r="CI15" s="63">
        <f t="shared" si="10"/>
        <v>1.0180228648285139</v>
      </c>
      <c r="CJ15" s="10" t="s">
        <v>76</v>
      </c>
      <c r="CK15" s="10" t="s">
        <v>76</v>
      </c>
      <c r="CL15" s="4">
        <v>4272.5600000000004</v>
      </c>
      <c r="CM15" s="4">
        <v>5279</v>
      </c>
      <c r="CN15" s="4">
        <v>1011.25</v>
      </c>
      <c r="CO15" s="4">
        <v>1271</v>
      </c>
      <c r="CP15" s="4">
        <v>448.524</v>
      </c>
      <c r="CQ15" s="4">
        <v>579</v>
      </c>
      <c r="CR15" s="4">
        <v>1040.76</v>
      </c>
      <c r="CS15" s="4">
        <v>1259</v>
      </c>
      <c r="CT15" s="4">
        <v>852.41800000000001</v>
      </c>
      <c r="CU15" s="4">
        <v>1053</v>
      </c>
      <c r="CV15" s="4">
        <v>333.08300000000003</v>
      </c>
      <c r="CW15" s="4">
        <v>403</v>
      </c>
      <c r="CX15" s="4">
        <v>586.52300000000002</v>
      </c>
      <c r="CY15" s="4">
        <v>714</v>
      </c>
      <c r="CZ15" s="63">
        <f t="shared" si="11"/>
        <v>1.0000004681036514</v>
      </c>
      <c r="DA15" s="55"/>
    </row>
    <row r="16" spans="1:110" s="10" customFormat="1">
      <c r="A16" s="65"/>
      <c r="B16" s="66"/>
      <c r="C16" s="66"/>
      <c r="D16" s="66"/>
      <c r="E16" s="60"/>
      <c r="F16" s="60"/>
      <c r="H16" s="60"/>
      <c r="L16" s="1"/>
      <c r="M16" s="52"/>
      <c r="N16" s="52"/>
      <c r="O16" s="63"/>
      <c r="P16" s="63"/>
      <c r="Q16" s="63"/>
      <c r="R16" s="91"/>
      <c r="S16" s="91"/>
      <c r="T16" s="51"/>
      <c r="AC16" s="53"/>
      <c r="AD16" s="53"/>
      <c r="AE16" s="53"/>
      <c r="AF16" s="57"/>
      <c r="AG16" s="64"/>
      <c r="AH16" s="51"/>
      <c r="AI16" s="51"/>
      <c r="AJ16" s="53"/>
      <c r="AL16" s="53"/>
      <c r="AX16" s="51"/>
      <c r="AZ16"/>
      <c r="BB16" s="51"/>
      <c r="BQ16" s="51"/>
      <c r="BR16" s="51"/>
      <c r="BS16" s="59"/>
    </row>
    <row r="17" spans="1:110" s="10" customFormat="1">
      <c r="A17" s="6"/>
      <c r="G17" s="3"/>
      <c r="I17" s="79"/>
      <c r="M17" s="52"/>
      <c r="AC17" s="53"/>
      <c r="AD17" s="53"/>
      <c r="AE17" s="53"/>
      <c r="AF17" s="57"/>
      <c r="AG17" s="64"/>
      <c r="AH17" s="58"/>
      <c r="AI17" s="58"/>
      <c r="AJ17" s="53"/>
      <c r="AL17" s="53"/>
      <c r="AN17" s="53"/>
      <c r="AX17" s="58"/>
      <c r="AZ17"/>
      <c r="BB17" s="58"/>
      <c r="BQ17" s="51"/>
      <c r="BR17" s="2"/>
      <c r="BS17" s="67"/>
      <c r="BV17" s="53"/>
      <c r="BX17" s="53"/>
      <c r="CJ17" s="53"/>
      <c r="DA17" s="55"/>
      <c r="DF17" s="55"/>
    </row>
    <row r="18" spans="1:110" s="10" customFormat="1">
      <c r="A18" s="6"/>
      <c r="G18" s="68"/>
      <c r="I18" s="80"/>
      <c r="M18" s="52"/>
      <c r="AC18" s="53"/>
      <c r="AD18" s="53"/>
      <c r="AE18" s="53"/>
      <c r="AF18" s="57"/>
      <c r="AG18" s="64"/>
      <c r="AH18" s="58"/>
      <c r="AI18" s="58"/>
      <c r="AJ18" s="53"/>
      <c r="AL18" s="53"/>
      <c r="AN18" s="53"/>
      <c r="AX18" s="58"/>
      <c r="AZ18"/>
      <c r="BB18" s="58"/>
      <c r="BQ18" s="51"/>
      <c r="BR18" s="2"/>
      <c r="BS18" s="67"/>
      <c r="BV18" s="53"/>
      <c r="BX18" s="53"/>
      <c r="CJ18" s="53"/>
      <c r="DA18" s="55"/>
      <c r="DF18" s="55"/>
    </row>
    <row r="19" spans="1:110" s="10" customFormat="1">
      <c r="A19" s="6"/>
      <c r="G19" s="68"/>
      <c r="I19" s="80"/>
      <c r="L19" s="60"/>
      <c r="M19" s="52"/>
      <c r="AC19" s="53"/>
      <c r="AD19" s="53"/>
      <c r="AE19" s="53"/>
      <c r="AF19" s="57"/>
      <c r="AG19" s="64"/>
      <c r="AH19" s="58"/>
      <c r="AI19" s="58"/>
      <c r="AJ19" s="53"/>
      <c r="AL19" s="53"/>
      <c r="AN19" s="53"/>
      <c r="AX19" s="58"/>
      <c r="AZ19"/>
      <c r="BA19" s="60"/>
      <c r="BB19" s="58"/>
      <c r="BC19" s="60"/>
      <c r="BD19" s="60"/>
      <c r="BQ19" s="51"/>
      <c r="BR19" s="2"/>
      <c r="BS19" s="67"/>
      <c r="BV19" s="53"/>
      <c r="BX19" s="53"/>
      <c r="CJ19" s="53"/>
      <c r="CK19" s="60"/>
      <c r="DA19" s="55"/>
    </row>
    <row r="20" spans="1:110" s="10" customFormat="1">
      <c r="A20" s="6"/>
      <c r="G20" s="3"/>
      <c r="I20" s="6"/>
      <c r="L20" s="60"/>
      <c r="M20" s="52"/>
      <c r="AC20" s="53"/>
      <c r="AD20" s="53"/>
      <c r="AE20" s="53"/>
      <c r="AF20" s="57"/>
      <c r="AG20" s="64"/>
      <c r="AH20" s="58"/>
      <c r="AI20" s="58"/>
      <c r="AJ20" s="53"/>
      <c r="AL20" s="53"/>
      <c r="AN20" s="53"/>
      <c r="AX20" s="58"/>
      <c r="AZ20"/>
      <c r="BB20" s="58"/>
      <c r="BQ20" s="51"/>
      <c r="BR20" s="2"/>
      <c r="BS20" s="67"/>
      <c r="BV20" s="53"/>
      <c r="BX20" s="53"/>
      <c r="CJ20" s="53"/>
      <c r="CK20" s="60"/>
      <c r="DA20" s="55"/>
    </row>
    <row r="21" spans="1:110" s="10" customFormat="1">
      <c r="A21" s="6"/>
      <c r="G21" s="68"/>
      <c r="L21" s="1"/>
      <c r="M21" s="52"/>
      <c r="N21" s="52"/>
      <c r="O21" s="63"/>
      <c r="Q21" s="63"/>
      <c r="R21" s="69"/>
      <c r="T21" s="51"/>
      <c r="AC21" s="53"/>
      <c r="AD21" s="53"/>
      <c r="AE21" s="53"/>
      <c r="AF21" s="57"/>
      <c r="AG21" s="64"/>
      <c r="AH21" s="58"/>
      <c r="AI21" s="58"/>
      <c r="AJ21" s="53"/>
      <c r="AL21" s="53"/>
      <c r="AN21" s="53"/>
      <c r="AX21" s="58"/>
      <c r="AZ21"/>
      <c r="BB21" s="58"/>
      <c r="BQ21" s="51"/>
      <c r="BR21" s="2"/>
      <c r="BS21" s="67"/>
      <c r="BV21" s="53"/>
      <c r="BX21" s="53"/>
      <c r="CJ21" s="53"/>
      <c r="DA21" s="55"/>
    </row>
    <row r="22" spans="1:110" s="10" customFormat="1">
      <c r="A22" s="6"/>
      <c r="G22" s="3"/>
      <c r="L22" s="1"/>
      <c r="M22" s="52"/>
      <c r="N22" s="52"/>
      <c r="P22" s="63"/>
      <c r="Q22" s="63"/>
      <c r="R22" s="69"/>
      <c r="T22" s="51"/>
      <c r="AC22" s="53"/>
      <c r="AD22" s="53"/>
      <c r="AE22" s="53"/>
      <c r="AF22" s="57"/>
      <c r="AG22" s="64"/>
      <c r="AH22" s="58"/>
      <c r="AI22" s="58"/>
      <c r="AJ22" s="53"/>
      <c r="AL22" s="53"/>
      <c r="AN22" s="53"/>
      <c r="AX22" s="58"/>
      <c r="AZ22"/>
      <c r="BB22" s="58"/>
      <c r="BQ22" s="51"/>
      <c r="BR22" s="2"/>
      <c r="BS22" s="67"/>
      <c r="BV22" s="53"/>
      <c r="BX22" s="53"/>
      <c r="CJ22" s="53"/>
      <c r="CK22" s="60"/>
      <c r="DA22" s="55"/>
    </row>
    <row r="23" spans="1:110" s="51" customFormat="1">
      <c r="A23" s="70"/>
      <c r="B23" s="71"/>
      <c r="C23" s="71"/>
      <c r="D23" s="71"/>
      <c r="E23" s="70"/>
      <c r="F23" s="70"/>
      <c r="H23" s="70"/>
      <c r="M23" s="2"/>
      <c r="N23" s="2"/>
      <c r="P23" s="59"/>
      <c r="Q23" s="59"/>
      <c r="R23" s="2"/>
      <c r="AC23" s="72"/>
      <c r="AD23" s="72"/>
      <c r="AE23" s="72"/>
      <c r="AF23" s="57"/>
      <c r="AG23" s="59"/>
      <c r="AJ23" s="53"/>
      <c r="AK23" s="10"/>
      <c r="AL23" s="53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/>
      <c r="BA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S23" s="59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</row>
    <row r="24" spans="1:110" s="51" customFormat="1">
      <c r="A24" s="70"/>
      <c r="B24" s="71"/>
      <c r="C24" s="71"/>
      <c r="D24" s="71"/>
      <c r="E24" s="70"/>
      <c r="F24" s="70"/>
      <c r="M24" s="59"/>
      <c r="N24" s="59"/>
      <c r="O24" s="59"/>
      <c r="P24" s="59"/>
      <c r="Q24" s="59"/>
      <c r="R24" s="2"/>
      <c r="AC24" s="72"/>
      <c r="AD24" s="72"/>
      <c r="AE24" s="72"/>
      <c r="AF24" s="57"/>
      <c r="AG24" s="59"/>
      <c r="AJ24" s="53"/>
      <c r="AK24" s="10"/>
      <c r="AL24" s="53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/>
      <c r="BA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S24" s="59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</row>
    <row r="25" spans="1:110" s="10" customFormat="1">
      <c r="A25" s="60"/>
      <c r="B25" s="60"/>
      <c r="C25" s="60"/>
      <c r="D25" s="60"/>
      <c r="E25" s="60"/>
      <c r="F25" s="60"/>
      <c r="G25" s="60"/>
      <c r="H25" s="60"/>
      <c r="M25" s="52"/>
      <c r="N25" s="52"/>
      <c r="O25" s="63"/>
      <c r="P25" s="63"/>
      <c r="Q25" s="59"/>
      <c r="R25" s="63"/>
      <c r="T25" s="51"/>
      <c r="AC25" s="53"/>
      <c r="AD25" s="53"/>
      <c r="AE25" s="53"/>
      <c r="AF25" s="57"/>
      <c r="AG25" s="64"/>
      <c r="AH25" s="51"/>
      <c r="AI25" s="51"/>
      <c r="AJ25" s="53"/>
      <c r="AL25" s="53"/>
      <c r="AX25" s="51"/>
      <c r="AZ25"/>
      <c r="BB25" s="51"/>
      <c r="BQ25" s="51"/>
      <c r="BR25" s="51"/>
      <c r="BS25" s="59"/>
    </row>
    <row r="26" spans="1:110" s="10" customFormat="1">
      <c r="A26" s="70"/>
      <c r="B26" s="71"/>
      <c r="C26" s="71"/>
      <c r="D26" s="71"/>
      <c r="E26" s="60"/>
      <c r="F26" s="60"/>
      <c r="G26" s="6"/>
      <c r="H26" s="60"/>
      <c r="I26" s="60"/>
      <c r="L26" s="1"/>
      <c r="M26" s="52"/>
      <c r="N26" s="52"/>
      <c r="O26" s="63"/>
      <c r="P26" s="63"/>
      <c r="Q26" s="63"/>
      <c r="R26" s="63"/>
      <c r="T26" s="51"/>
      <c r="AC26" s="53"/>
      <c r="AD26" s="53"/>
      <c r="AE26" s="53"/>
      <c r="AF26" s="57"/>
      <c r="AG26" s="64"/>
      <c r="AH26" s="51"/>
      <c r="AI26" s="51"/>
      <c r="AJ26" s="53"/>
      <c r="AL26" s="53"/>
      <c r="AX26" s="51"/>
      <c r="AZ26"/>
      <c r="BB26" s="51"/>
      <c r="BQ26" s="51"/>
      <c r="BR26" s="51"/>
      <c r="BS26" s="59"/>
    </row>
    <row r="27" spans="1:110" s="10" customFormat="1">
      <c r="A27" s="70"/>
      <c r="B27" s="70"/>
      <c r="C27" s="70"/>
      <c r="D27" s="70"/>
      <c r="E27" s="60"/>
      <c r="F27" s="60"/>
      <c r="G27" s="60"/>
      <c r="H27" s="60"/>
      <c r="M27" s="52"/>
      <c r="N27" s="52"/>
      <c r="O27" s="63"/>
      <c r="P27" s="63"/>
      <c r="Q27" s="63"/>
      <c r="R27" s="63"/>
      <c r="T27" s="51"/>
      <c r="AC27" s="53"/>
      <c r="AD27" s="53"/>
      <c r="AE27" s="53"/>
      <c r="AF27" s="57"/>
      <c r="AG27" s="64"/>
      <c r="AH27" s="51"/>
      <c r="AI27" s="51"/>
      <c r="AJ27" s="53"/>
      <c r="AL27" s="53"/>
      <c r="AX27" s="51"/>
      <c r="AZ27"/>
      <c r="BB27" s="51"/>
      <c r="BQ27" s="51"/>
      <c r="BR27" s="51"/>
      <c r="BS27" s="59"/>
    </row>
    <row r="28" spans="1:110" s="10" customFormat="1">
      <c r="A28" s="70"/>
      <c r="B28" s="71"/>
      <c r="C28" s="71"/>
      <c r="D28" s="71"/>
      <c r="E28" s="60"/>
      <c r="F28" s="60"/>
      <c r="L28" s="1"/>
      <c r="M28" s="52"/>
      <c r="N28" s="52"/>
      <c r="O28" s="63"/>
      <c r="P28" s="63"/>
      <c r="Q28" s="63"/>
      <c r="R28" s="63"/>
      <c r="T28" s="51"/>
      <c r="AC28" s="53"/>
      <c r="AD28" s="53"/>
      <c r="AE28" s="53"/>
      <c r="AF28" s="57"/>
      <c r="AG28" s="64"/>
      <c r="AH28" s="51"/>
      <c r="AI28" s="51"/>
      <c r="AJ28" s="53"/>
      <c r="AL28" s="53"/>
      <c r="AX28" s="51"/>
      <c r="BB28" s="51"/>
      <c r="BQ28" s="51"/>
      <c r="BR28" s="51"/>
      <c r="BS28" s="59"/>
    </row>
    <row r="29" spans="1:110" s="10" customFormat="1">
      <c r="M29" s="52"/>
      <c r="N29" s="52"/>
      <c r="O29" s="63"/>
      <c r="P29" s="63"/>
      <c r="Q29" s="63"/>
      <c r="R29" s="52"/>
      <c r="T29" s="51"/>
      <c r="AC29" s="52"/>
      <c r="AD29" s="52"/>
      <c r="AE29" s="52"/>
      <c r="AF29" s="57"/>
      <c r="AG29" s="52"/>
      <c r="AH29" s="51"/>
      <c r="AI29" s="51"/>
      <c r="AJ29" s="53"/>
      <c r="AX29" s="51"/>
      <c r="BB29" s="51"/>
      <c r="BQ29" s="51"/>
      <c r="BR29" s="51"/>
      <c r="BS29" s="59"/>
    </row>
    <row r="30" spans="1:110" s="10" customFormat="1">
      <c r="M30" s="52"/>
      <c r="N30" s="52"/>
      <c r="O30" s="63"/>
      <c r="P30" s="63"/>
      <c r="Q30" s="63"/>
      <c r="R30" s="52"/>
      <c r="T30" s="51"/>
      <c r="AC30" s="52"/>
      <c r="AD30" s="52"/>
      <c r="AE30" s="52"/>
      <c r="AF30" s="57"/>
      <c r="AG30" s="52"/>
      <c r="AH30" s="51"/>
      <c r="AI30" s="51"/>
      <c r="AJ30" s="53"/>
      <c r="AX30" s="51"/>
      <c r="BB30" s="51"/>
      <c r="BQ30" s="51"/>
      <c r="BR30" s="51"/>
      <c r="BS30" s="59"/>
    </row>
    <row r="31" spans="1:110" s="10" customFormat="1">
      <c r="M31" s="52"/>
      <c r="N31" s="52"/>
      <c r="O31" s="63"/>
      <c r="P31" s="63"/>
      <c r="Q31" s="63"/>
      <c r="R31" s="52"/>
      <c r="T31" s="51"/>
      <c r="AC31" s="52"/>
      <c r="AD31" s="52"/>
      <c r="AE31" s="52"/>
      <c r="AF31" s="57"/>
      <c r="AG31" s="52"/>
      <c r="AH31" s="51"/>
      <c r="AI31" s="51"/>
      <c r="AJ31" s="53"/>
      <c r="AX31" s="51"/>
      <c r="BB31" s="51"/>
      <c r="BQ31" s="51"/>
      <c r="BR31" s="51"/>
      <c r="BS31" s="59"/>
    </row>
    <row r="32" spans="1:110">
      <c r="O32" s="73"/>
      <c r="P32" s="73"/>
      <c r="Q32" s="73"/>
      <c r="AJ32" s="12"/>
    </row>
    <row r="33" spans="15:36">
      <c r="O33" s="73"/>
      <c r="P33" s="73"/>
      <c r="Q33" s="73"/>
      <c r="AJ33" s="12"/>
    </row>
    <row r="34" spans="15:36">
      <c r="O34" s="73"/>
      <c r="P34" s="73"/>
      <c r="Q34" s="73"/>
      <c r="AJ34" s="12"/>
    </row>
    <row r="35" spans="15:36">
      <c r="O35" s="73"/>
      <c r="P35" s="73"/>
      <c r="Q35" s="73"/>
    </row>
    <row r="36" spans="15:36">
      <c r="O36" s="73"/>
      <c r="P36" s="73"/>
      <c r="Q36" s="73"/>
    </row>
    <row r="37" spans="15:36">
      <c r="O37" s="73"/>
      <c r="P37" s="73"/>
      <c r="Q37" s="73"/>
    </row>
    <row r="38" spans="15:36">
      <c r="O38" s="73"/>
      <c r="P38" s="73"/>
      <c r="Q38" s="73"/>
    </row>
    <row r="39" spans="15:36">
      <c r="O39" s="73"/>
      <c r="P39" s="73"/>
      <c r="Q39" s="73"/>
    </row>
    <row r="40" spans="15:36">
      <c r="O40" s="73"/>
      <c r="P40" s="73"/>
      <c r="Q40" s="73"/>
    </row>
    <row r="41" spans="15:36">
      <c r="O41" s="73"/>
      <c r="P41" s="73"/>
      <c r="Q41" s="73"/>
    </row>
    <row r="42" spans="15:36">
      <c r="O42" s="73"/>
      <c r="P42" s="73"/>
      <c r="Q42" s="73"/>
    </row>
    <row r="43" spans="15:36">
      <c r="O43" s="73"/>
      <c r="P43" s="73"/>
      <c r="Q43" s="73"/>
    </row>
    <row r="44" spans="15:36">
      <c r="O44" s="73"/>
      <c r="P44" s="73"/>
      <c r="Q44" s="73"/>
    </row>
    <row r="45" spans="15:36">
      <c r="O45" s="73"/>
      <c r="P45" s="73"/>
      <c r="Q45" s="73"/>
    </row>
    <row r="46" spans="15:36">
      <c r="O46" s="73"/>
      <c r="P46" s="73"/>
      <c r="Q46" s="73"/>
    </row>
    <row r="47" spans="15:36">
      <c r="O47" s="73"/>
      <c r="P47" s="73"/>
      <c r="Q47" s="73"/>
    </row>
    <row r="48" spans="15:36">
      <c r="O48" s="73"/>
      <c r="P48" s="73"/>
      <c r="Q48" s="73"/>
    </row>
    <row r="49" spans="15:17">
      <c r="O49" s="73"/>
      <c r="P49" s="73"/>
      <c r="Q49" s="73"/>
    </row>
    <row r="50" spans="15:17">
      <c r="O50" s="73"/>
      <c r="P50" s="73"/>
      <c r="Q50" s="73"/>
    </row>
    <row r="51" spans="15:17">
      <c r="O51" s="73"/>
      <c r="P51" s="73"/>
      <c r="Q51" s="73"/>
    </row>
    <row r="52" spans="15:17">
      <c r="O52" s="73"/>
      <c r="P52" s="73"/>
      <c r="Q52" s="73"/>
    </row>
    <row r="53" spans="15:17">
      <c r="O53" s="73"/>
      <c r="P53" s="73"/>
      <c r="Q53" s="73"/>
    </row>
    <row r="54" spans="15:17">
      <c r="O54" s="73"/>
      <c r="P54" s="73"/>
      <c r="Q54" s="73"/>
    </row>
    <row r="55" spans="15:17">
      <c r="O55" s="73"/>
      <c r="P55" s="73"/>
      <c r="Q55" s="73"/>
    </row>
    <row r="56" spans="15:17">
      <c r="O56" s="73"/>
      <c r="P56" s="73"/>
      <c r="Q56" s="73"/>
    </row>
    <row r="57" spans="15:17">
      <c r="O57" s="73"/>
      <c r="P57" s="73"/>
      <c r="Q57" s="73"/>
    </row>
    <row r="58" spans="15:17">
      <c r="O58" s="73"/>
      <c r="P58" s="73"/>
      <c r="Q58" s="73"/>
    </row>
    <row r="59" spans="15:17">
      <c r="O59" s="73"/>
      <c r="P59" s="73"/>
      <c r="Q59" s="73"/>
    </row>
    <row r="60" spans="15:17">
      <c r="O60" s="73"/>
      <c r="P60" s="73"/>
      <c r="Q60" s="73"/>
    </row>
    <row r="61" spans="15:17">
      <c r="O61" s="73"/>
      <c r="P61" s="73"/>
      <c r="Q61" s="73"/>
    </row>
    <row r="62" spans="15:17">
      <c r="O62" s="73"/>
      <c r="P62" s="73"/>
      <c r="Q62" s="73"/>
    </row>
    <row r="63" spans="15:17">
      <c r="O63" s="73"/>
      <c r="P63" s="73"/>
      <c r="Q63" s="73"/>
    </row>
    <row r="64" spans="15:17">
      <c r="O64" s="73"/>
      <c r="P64" s="73"/>
      <c r="Q64" s="73"/>
    </row>
    <row r="65" spans="15:17">
      <c r="O65" s="73"/>
      <c r="P65" s="73"/>
      <c r="Q65" s="73"/>
    </row>
    <row r="66" spans="15:17">
      <c r="O66" s="73"/>
      <c r="P66" s="73"/>
      <c r="Q66" s="73"/>
    </row>
    <row r="67" spans="15:17">
      <c r="O67" s="73"/>
      <c r="P67" s="73"/>
      <c r="Q67" s="73"/>
    </row>
    <row r="68" spans="15:17">
      <c r="O68" s="73"/>
      <c r="P68" s="73"/>
      <c r="Q68" s="73"/>
    </row>
  </sheetData>
  <sheetProtection formatCells="0" formatColumns="0" formatRows="0" insertColumns="0" insertRows="0" sort="0" autoFilter="0"/>
  <sortState xmlns:xlrd2="http://schemas.microsoft.com/office/spreadsheetml/2017/richdata2" ref="A2:H39">
    <sortCondition ref="A2:A39"/>
  </sortState>
  <dataConsolidate/>
  <mergeCells count="31">
    <mergeCell ref="BG2:BH2"/>
    <mergeCell ref="BI2:BJ2"/>
    <mergeCell ref="BK2:BL2"/>
    <mergeCell ref="BE2:BF2"/>
    <mergeCell ref="BC2:BD2"/>
    <mergeCell ref="AY2:BA2"/>
    <mergeCell ref="AL2:AM2"/>
    <mergeCell ref="AP2:AQ2"/>
    <mergeCell ref="AR2:AS2"/>
    <mergeCell ref="AT2:AU2"/>
    <mergeCell ref="AV2:AW2"/>
    <mergeCell ref="BZ2:CA2"/>
    <mergeCell ref="CB2:CC2"/>
    <mergeCell ref="CF2:CG2"/>
    <mergeCell ref="BX2:BY2"/>
    <mergeCell ref="BM2:BN2"/>
    <mergeCell ref="BO2:BP2"/>
    <mergeCell ref="BV2:BW2"/>
    <mergeCell ref="BT2:BU2"/>
    <mergeCell ref="CJ1:CY1"/>
    <mergeCell ref="CJ2:CK2"/>
    <mergeCell ref="CL2:CM2"/>
    <mergeCell ref="CN2:CO2"/>
    <mergeCell ref="CD2:CE2"/>
    <mergeCell ref="E2:F2"/>
    <mergeCell ref="AJ2:AK2"/>
    <mergeCell ref="AN2:AO2"/>
    <mergeCell ref="AH1:AX1"/>
    <mergeCell ref="AB2:AG2"/>
    <mergeCell ref="O2:Q2"/>
    <mergeCell ref="R2:AA2"/>
  </mergeCells>
  <phoneticPr fontId="7" type="noConversion"/>
  <pageMargins left="0.75" right="0.75" top="1" bottom="1" header="0.5" footer="0.5"/>
  <pageSetup paperSize="9" orientation="portrait" horizontalDpi="4294967292" verticalDpi="4294967292"/>
  <ignoredErrors>
    <ignoredError sqref="AZ10" formula="1"/>
    <ignoredError sqref="BR4:BR15 N4:N15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F113-0397-D545-BA96-C665F3C6FF05}">
  <dimension ref="A2:G5"/>
  <sheetViews>
    <sheetView workbookViewId="0">
      <selection activeCell="A6" sqref="A6"/>
    </sheetView>
  </sheetViews>
  <sheetFormatPr baseColWidth="10" defaultRowHeight="16"/>
  <cols>
    <col min="3" max="3" width="19.33203125" bestFit="1" customWidth="1"/>
    <col min="4" max="4" width="18" bestFit="1" customWidth="1"/>
  </cols>
  <sheetData>
    <row r="2" spans="1:7">
      <c r="A2" s="63"/>
      <c r="B2" s="52" t="s">
        <v>150</v>
      </c>
      <c r="C2" s="63" t="s">
        <v>153</v>
      </c>
      <c r="D2" s="63" t="s">
        <v>154</v>
      </c>
      <c r="E2" s="63" t="s">
        <v>155</v>
      </c>
      <c r="F2" s="10" t="s">
        <v>152</v>
      </c>
      <c r="G2" s="6" t="s">
        <v>151</v>
      </c>
    </row>
    <row r="3" spans="1:7">
      <c r="A3" s="6" t="s">
        <v>54</v>
      </c>
      <c r="B3" s="128">
        <f>68078272</f>
        <v>68078272</v>
      </c>
      <c r="C3" s="128">
        <f>B3/(16^3)</f>
        <v>16620.671875</v>
      </c>
      <c r="D3" s="100">
        <v>17482</v>
      </c>
      <c r="E3" s="55">
        <f>(D3-C3)/D3</f>
        <v>4.9269427125042904E-2</v>
      </c>
      <c r="F3" s="80">
        <v>53779419.3024</v>
      </c>
      <c r="G3" s="6">
        <f>F3/B3</f>
        <v>0.78996451764228093</v>
      </c>
    </row>
    <row r="4" spans="1:7">
      <c r="A4" s="6" t="s">
        <v>106</v>
      </c>
      <c r="B4">
        <v>71674423</v>
      </c>
      <c r="C4">
        <v>17588</v>
      </c>
      <c r="D4" s="100">
        <v>17597</v>
      </c>
      <c r="E4" s="55">
        <f>(D4-C4)/D4</f>
        <v>5.1145081547991134E-4</v>
      </c>
      <c r="F4" s="6"/>
      <c r="G4" s="51"/>
    </row>
    <row r="5" spans="1:7">
      <c r="A5" s="6" t="s">
        <v>107</v>
      </c>
      <c r="B5" s="127">
        <v>61260734</v>
      </c>
      <c r="C5">
        <v>15427</v>
      </c>
      <c r="D5" s="100">
        <v>15324</v>
      </c>
      <c r="E5" s="55">
        <f>(D5-C5)/D5</f>
        <v>-6.7214826416079352E-3</v>
      </c>
      <c r="F5" s="10"/>
      <c r="G5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A938-4EF4-7E40-8FE1-1A4F15957F72}">
  <dimension ref="A1:N132"/>
  <sheetViews>
    <sheetView topLeftCell="A92" workbookViewId="0">
      <selection activeCell="C129" sqref="C129"/>
    </sheetView>
  </sheetViews>
  <sheetFormatPr baseColWidth="10" defaultRowHeight="16"/>
  <cols>
    <col min="4" max="4" width="17" bestFit="1" customWidth="1"/>
  </cols>
  <sheetData>
    <row r="1" spans="1:4">
      <c r="A1" s="81" t="s">
        <v>54</v>
      </c>
    </row>
    <row r="2" spans="1:4">
      <c r="A2" s="82" t="s">
        <v>87</v>
      </c>
      <c r="B2" s="82" t="s">
        <v>86</v>
      </c>
      <c r="C2" s="82" t="s">
        <v>88</v>
      </c>
    </row>
    <row r="3" spans="1:4">
      <c r="A3" t="s">
        <v>78</v>
      </c>
      <c r="B3" s="83"/>
      <c r="C3">
        <v>0</v>
      </c>
      <c r="D3" t="s">
        <v>97</v>
      </c>
    </row>
    <row r="4" spans="1:4">
      <c r="A4" t="s">
        <v>79</v>
      </c>
      <c r="B4" s="83" t="s">
        <v>89</v>
      </c>
      <c r="C4">
        <v>891.02911400000005</v>
      </c>
    </row>
    <row r="5" spans="1:4">
      <c r="A5" t="s">
        <v>80</v>
      </c>
      <c r="B5" s="83" t="s">
        <v>90</v>
      </c>
      <c r="C5">
        <v>2252.1469729999999</v>
      </c>
    </row>
    <row r="6" spans="1:4">
      <c r="A6" t="s">
        <v>81</v>
      </c>
      <c r="B6" s="83" t="s">
        <v>91</v>
      </c>
      <c r="C6">
        <v>2980.695068</v>
      </c>
    </row>
    <row r="7" spans="1:4">
      <c r="A7" t="s">
        <v>82</v>
      </c>
      <c r="B7" s="85" t="s">
        <v>92</v>
      </c>
      <c r="C7">
        <v>3301.920654</v>
      </c>
      <c r="D7" t="s">
        <v>96</v>
      </c>
    </row>
    <row r="8" spans="1:4">
      <c r="A8" t="s">
        <v>83</v>
      </c>
      <c r="B8" s="83" t="s">
        <v>93</v>
      </c>
      <c r="C8">
        <v>2280.0004880000001</v>
      </c>
    </row>
    <row r="9" spans="1:4">
      <c r="A9" t="s">
        <v>84</v>
      </c>
      <c r="B9" s="83" t="s">
        <v>94</v>
      </c>
      <c r="C9">
        <v>1189.2631839999999</v>
      </c>
    </row>
    <row r="10" spans="1:4">
      <c r="A10" t="s">
        <v>85</v>
      </c>
      <c r="B10" s="83" t="s">
        <v>95</v>
      </c>
      <c r="C10">
        <v>320.14871199999999</v>
      </c>
    </row>
    <row r="12" spans="1:4">
      <c r="A12" s="81" t="s">
        <v>62</v>
      </c>
    </row>
    <row r="13" spans="1:4">
      <c r="A13" s="82" t="s">
        <v>87</v>
      </c>
      <c r="B13" s="82" t="s">
        <v>86</v>
      </c>
      <c r="C13" s="82" t="s">
        <v>88</v>
      </c>
    </row>
    <row r="14" spans="1:4">
      <c r="A14" t="s">
        <v>78</v>
      </c>
      <c r="C14">
        <v>0</v>
      </c>
      <c r="D14" t="s">
        <v>97</v>
      </c>
    </row>
    <row r="15" spans="1:4">
      <c r="A15" t="s">
        <v>79</v>
      </c>
      <c r="B15" s="83" t="s">
        <v>89</v>
      </c>
      <c r="C15">
        <v>882.53283699999997</v>
      </c>
    </row>
    <row r="16" spans="1:4">
      <c r="A16" t="s">
        <v>80</v>
      </c>
      <c r="B16" s="83" t="s">
        <v>90</v>
      </c>
      <c r="C16">
        <v>2173.6633299999999</v>
      </c>
    </row>
    <row r="17" spans="1:4">
      <c r="A17" t="s">
        <v>81</v>
      </c>
      <c r="B17" s="83" t="s">
        <v>91</v>
      </c>
      <c r="C17">
        <v>2884.4816890000002</v>
      </c>
    </row>
    <row r="18" spans="1:4">
      <c r="A18" t="s">
        <v>82</v>
      </c>
      <c r="B18" s="85" t="s">
        <v>92</v>
      </c>
      <c r="C18">
        <v>3084.5634770000001</v>
      </c>
      <c r="D18" t="s">
        <v>96</v>
      </c>
    </row>
    <row r="19" spans="1:4">
      <c r="A19" t="s">
        <v>83</v>
      </c>
      <c r="B19" s="83" t="s">
        <v>93</v>
      </c>
      <c r="C19">
        <v>2149.8203119999998</v>
      </c>
    </row>
    <row r="20" spans="1:4">
      <c r="A20" t="s">
        <v>84</v>
      </c>
      <c r="B20" s="83" t="s">
        <v>94</v>
      </c>
      <c r="C20">
        <v>1112.789673</v>
      </c>
    </row>
    <row r="21" spans="1:4">
      <c r="A21" t="s">
        <v>85</v>
      </c>
      <c r="B21" s="83" t="s">
        <v>95</v>
      </c>
      <c r="C21">
        <v>325.01315299999999</v>
      </c>
    </row>
    <row r="23" spans="1:4">
      <c r="A23" s="81" t="s">
        <v>63</v>
      </c>
    </row>
    <row r="24" spans="1:4">
      <c r="A24" s="82" t="s">
        <v>87</v>
      </c>
      <c r="B24" s="82" t="s">
        <v>86</v>
      </c>
      <c r="C24" s="82" t="s">
        <v>88</v>
      </c>
    </row>
    <row r="25" spans="1:4">
      <c r="A25" t="s">
        <v>78</v>
      </c>
      <c r="C25">
        <v>0</v>
      </c>
      <c r="D25" t="s">
        <v>97</v>
      </c>
    </row>
    <row r="26" spans="1:4">
      <c r="A26" t="s">
        <v>79</v>
      </c>
      <c r="B26" s="83" t="s">
        <v>89</v>
      </c>
      <c r="C26">
        <v>926.58233600000005</v>
      </c>
    </row>
    <row r="27" spans="1:4">
      <c r="A27" t="s">
        <v>80</v>
      </c>
      <c r="B27" s="83" t="s">
        <v>90</v>
      </c>
      <c r="C27">
        <v>2206.0683589999999</v>
      </c>
    </row>
    <row r="28" spans="1:4">
      <c r="A28" t="s">
        <v>81</v>
      </c>
      <c r="B28" s="83" t="s">
        <v>91</v>
      </c>
      <c r="C28">
        <v>2892.7143550000001</v>
      </c>
    </row>
    <row r="29" spans="1:4">
      <c r="A29" t="s">
        <v>82</v>
      </c>
      <c r="B29" s="84" t="s">
        <v>92</v>
      </c>
      <c r="C29">
        <v>3149.2272950000001</v>
      </c>
      <c r="D29" t="s">
        <v>96</v>
      </c>
    </row>
    <row r="30" spans="1:4">
      <c r="A30" t="s">
        <v>83</v>
      </c>
      <c r="B30" s="83" t="s">
        <v>93</v>
      </c>
      <c r="C30">
        <v>2170.7844239999999</v>
      </c>
    </row>
    <row r="31" spans="1:4">
      <c r="A31" t="s">
        <v>84</v>
      </c>
      <c r="B31" s="83" t="s">
        <v>94</v>
      </c>
      <c r="C31">
        <v>1116.8781739999999</v>
      </c>
    </row>
    <row r="32" spans="1:4">
      <c r="A32" t="s">
        <v>85</v>
      </c>
      <c r="B32" s="83" t="s">
        <v>95</v>
      </c>
      <c r="C32">
        <v>334.98629799999998</v>
      </c>
    </row>
    <row r="34" spans="1:14">
      <c r="A34" s="81" t="s">
        <v>64</v>
      </c>
      <c r="K34" s="81" t="s">
        <v>64</v>
      </c>
    </row>
    <row r="35" spans="1:14">
      <c r="A35" s="82" t="s">
        <v>87</v>
      </c>
      <c r="B35" s="82" t="s">
        <v>86</v>
      </c>
      <c r="C35" s="82" t="s">
        <v>88</v>
      </c>
      <c r="K35" s="82" t="s">
        <v>87</v>
      </c>
      <c r="L35" s="82" t="s">
        <v>86</v>
      </c>
      <c r="M35" s="82" t="s">
        <v>88</v>
      </c>
    </row>
    <row r="36" spans="1:14">
      <c r="A36" t="s">
        <v>78</v>
      </c>
      <c r="C36">
        <v>0</v>
      </c>
      <c r="K36" t="s">
        <v>85</v>
      </c>
      <c r="M36">
        <v>0</v>
      </c>
      <c r="N36" t="s">
        <v>97</v>
      </c>
    </row>
    <row r="37" spans="1:14">
      <c r="A37" t="s">
        <v>79</v>
      </c>
      <c r="B37" s="83" t="s">
        <v>89</v>
      </c>
      <c r="C37">
        <v>712.26886000000002</v>
      </c>
      <c r="K37" t="s">
        <v>78</v>
      </c>
      <c r="L37" s="83" t="s">
        <v>89</v>
      </c>
      <c r="M37">
        <v>769.58239700000001</v>
      </c>
    </row>
    <row r="38" spans="1:14">
      <c r="A38" t="s">
        <v>80</v>
      </c>
      <c r="B38" s="83" t="s">
        <v>90</v>
      </c>
      <c r="C38">
        <v>1294.163452</v>
      </c>
      <c r="K38" t="s">
        <v>79</v>
      </c>
      <c r="L38" s="83" t="s">
        <v>90</v>
      </c>
      <c r="M38">
        <v>1783.5126949999999</v>
      </c>
    </row>
    <row r="39" spans="1:14">
      <c r="A39" t="s">
        <v>81</v>
      </c>
      <c r="B39" s="83" t="s">
        <v>91</v>
      </c>
      <c r="C39">
        <v>1471.6529539999999</v>
      </c>
      <c r="K39" t="s">
        <v>80</v>
      </c>
      <c r="L39" s="83" t="s">
        <v>91</v>
      </c>
      <c r="M39">
        <v>2334.7033689999998</v>
      </c>
    </row>
    <row r="40" spans="1:14">
      <c r="A40" t="s">
        <v>82</v>
      </c>
      <c r="B40" s="86" t="s">
        <v>92</v>
      </c>
      <c r="C40">
        <v>785.73089600000003</v>
      </c>
      <c r="K40" t="s">
        <v>81</v>
      </c>
      <c r="L40" s="84" t="s">
        <v>92</v>
      </c>
      <c r="M40">
        <v>2520.748047</v>
      </c>
      <c r="N40" t="s">
        <v>96</v>
      </c>
    </row>
    <row r="41" spans="1:14">
      <c r="A41" t="s">
        <v>83</v>
      </c>
      <c r="B41" s="83" t="s">
        <v>93</v>
      </c>
      <c r="C41">
        <v>-139.60995500000001</v>
      </c>
      <c r="K41" t="s">
        <v>82</v>
      </c>
      <c r="L41" s="83" t="s">
        <v>93</v>
      </c>
      <c r="M41">
        <v>1728.0187989999999</v>
      </c>
    </row>
    <row r="42" spans="1:14">
      <c r="A42" t="s">
        <v>84</v>
      </c>
      <c r="B42" s="83" t="s">
        <v>94</v>
      </c>
      <c r="C42">
        <v>-568.55224599999997</v>
      </c>
      <c r="K42" t="s">
        <v>83</v>
      </c>
      <c r="L42" s="83" t="s">
        <v>94</v>
      </c>
      <c r="M42">
        <v>842.18554700000004</v>
      </c>
    </row>
    <row r="43" spans="1:14">
      <c r="A43" t="s">
        <v>85</v>
      </c>
      <c r="B43" s="83" t="s">
        <v>95</v>
      </c>
      <c r="C43">
        <v>-815.90869099999998</v>
      </c>
      <c r="D43" s="88" t="s">
        <v>98</v>
      </c>
      <c r="K43" t="s">
        <v>84</v>
      </c>
      <c r="L43" s="83" t="s">
        <v>95</v>
      </c>
      <c r="M43">
        <v>221.17746</v>
      </c>
    </row>
    <row r="45" spans="1:14">
      <c r="A45" s="81" t="s">
        <v>65</v>
      </c>
    </row>
    <row r="46" spans="1:14">
      <c r="A46" s="82" t="s">
        <v>87</v>
      </c>
      <c r="B46" s="82" t="s">
        <v>86</v>
      </c>
      <c r="C46" s="82" t="s">
        <v>88</v>
      </c>
    </row>
    <row r="47" spans="1:14">
      <c r="A47" t="s">
        <v>78</v>
      </c>
      <c r="C47">
        <v>0</v>
      </c>
      <c r="D47" t="s">
        <v>97</v>
      </c>
    </row>
    <row r="48" spans="1:14">
      <c r="A48" t="s">
        <v>79</v>
      </c>
      <c r="B48" s="83" t="s">
        <v>89</v>
      </c>
      <c r="C48">
        <v>796.09027100000003</v>
      </c>
    </row>
    <row r="49" spans="1:14">
      <c r="A49" t="s">
        <v>80</v>
      </c>
      <c r="B49" s="83" t="s">
        <v>90</v>
      </c>
      <c r="C49">
        <v>1807.2978519999999</v>
      </c>
    </row>
    <row r="50" spans="1:14">
      <c r="A50" t="s">
        <v>81</v>
      </c>
      <c r="B50" s="83" t="s">
        <v>91</v>
      </c>
      <c r="C50">
        <v>2373.1359859999998</v>
      </c>
    </row>
    <row r="51" spans="1:14">
      <c r="A51" t="s">
        <v>82</v>
      </c>
      <c r="B51" s="84" t="s">
        <v>92</v>
      </c>
      <c r="C51">
        <v>2523.7885740000002</v>
      </c>
      <c r="D51" t="s">
        <v>96</v>
      </c>
    </row>
    <row r="52" spans="1:14">
      <c r="A52" t="s">
        <v>83</v>
      </c>
      <c r="B52" s="83" t="s">
        <v>93</v>
      </c>
      <c r="C52">
        <v>1693.907471</v>
      </c>
    </row>
    <row r="53" spans="1:14">
      <c r="A53" t="s">
        <v>84</v>
      </c>
      <c r="B53" s="83" t="s">
        <v>94</v>
      </c>
      <c r="C53">
        <v>794.68078600000001</v>
      </c>
    </row>
    <row r="54" spans="1:14">
      <c r="A54" t="s">
        <v>85</v>
      </c>
      <c r="B54" s="83" t="s">
        <v>95</v>
      </c>
      <c r="C54">
        <v>177.28486599999999</v>
      </c>
    </row>
    <row r="56" spans="1:14">
      <c r="A56" s="81" t="s">
        <v>66</v>
      </c>
      <c r="K56" s="81" t="s">
        <v>66</v>
      </c>
    </row>
    <row r="57" spans="1:14">
      <c r="A57" s="82" t="s">
        <v>87</v>
      </c>
      <c r="B57" s="82" t="s">
        <v>86</v>
      </c>
      <c r="C57" s="82" t="s">
        <v>88</v>
      </c>
      <c r="K57" s="82" t="s">
        <v>87</v>
      </c>
      <c r="L57" s="82" t="s">
        <v>86</v>
      </c>
      <c r="M57" s="82" t="s">
        <v>88</v>
      </c>
    </row>
    <row r="58" spans="1:14">
      <c r="A58" t="s">
        <v>78</v>
      </c>
      <c r="C58">
        <v>0</v>
      </c>
      <c r="K58" t="s">
        <v>85</v>
      </c>
      <c r="M58">
        <v>0</v>
      </c>
      <c r="N58" t="s">
        <v>97</v>
      </c>
    </row>
    <row r="59" spans="1:14">
      <c r="A59" t="s">
        <v>79</v>
      </c>
      <c r="B59" s="83" t="s">
        <v>89</v>
      </c>
      <c r="C59">
        <v>667.74487299999998</v>
      </c>
      <c r="K59" t="s">
        <v>78</v>
      </c>
      <c r="L59" s="83" t="s">
        <v>89</v>
      </c>
      <c r="M59">
        <v>747.59527600000001</v>
      </c>
    </row>
    <row r="60" spans="1:14">
      <c r="A60" t="s">
        <v>80</v>
      </c>
      <c r="B60" s="83" t="s">
        <v>90</v>
      </c>
      <c r="C60">
        <v>1418.9293210000001</v>
      </c>
      <c r="K60" t="s">
        <v>79</v>
      </c>
      <c r="L60" s="83" t="s">
        <v>90</v>
      </c>
      <c r="M60">
        <v>1924.397217</v>
      </c>
    </row>
    <row r="61" spans="1:14">
      <c r="A61" t="s">
        <v>81</v>
      </c>
      <c r="B61" s="83" t="s">
        <v>91</v>
      </c>
      <c r="C61">
        <v>1653.1220699999999</v>
      </c>
      <c r="K61" t="s">
        <v>80</v>
      </c>
      <c r="L61" s="83" t="s">
        <v>91</v>
      </c>
      <c r="M61">
        <v>2626.6201169999999</v>
      </c>
    </row>
    <row r="62" spans="1:14">
      <c r="A62" t="s">
        <v>82</v>
      </c>
      <c r="B62" s="86" t="s">
        <v>92</v>
      </c>
      <c r="C62">
        <v>957.87445100000002</v>
      </c>
      <c r="K62" t="s">
        <v>81</v>
      </c>
      <c r="L62" s="84" t="s">
        <v>92</v>
      </c>
      <c r="M62">
        <v>2844.5900879999999</v>
      </c>
      <c r="N62" t="s">
        <v>96</v>
      </c>
    </row>
    <row r="63" spans="1:14">
      <c r="A63" t="s">
        <v>83</v>
      </c>
      <c r="B63" s="83" t="s">
        <v>93</v>
      </c>
      <c r="C63">
        <v>-41.089354999999998</v>
      </c>
      <c r="K63" t="s">
        <v>82</v>
      </c>
      <c r="L63" s="83" t="s">
        <v>93</v>
      </c>
      <c r="M63">
        <v>1979.8596190000001</v>
      </c>
    </row>
    <row r="64" spans="1:14">
      <c r="A64" t="s">
        <v>84</v>
      </c>
      <c r="B64" s="83" t="s">
        <v>94</v>
      </c>
      <c r="C64">
        <v>-481.07003800000001</v>
      </c>
      <c r="K64" t="s">
        <v>83</v>
      </c>
      <c r="L64" s="83" t="s">
        <v>94</v>
      </c>
      <c r="M64">
        <v>1035.623779</v>
      </c>
    </row>
    <row r="65" spans="1:13">
      <c r="A65" t="s">
        <v>85</v>
      </c>
      <c r="B65" s="83" t="s">
        <v>95</v>
      </c>
      <c r="C65">
        <v>-749.55304000000001</v>
      </c>
      <c r="D65" s="88" t="s">
        <v>98</v>
      </c>
      <c r="K65" t="s">
        <v>84</v>
      </c>
      <c r="L65" s="83" t="s">
        <v>95</v>
      </c>
      <c r="M65">
        <v>211.846237</v>
      </c>
    </row>
    <row r="67" spans="1:13">
      <c r="A67" s="81" t="s">
        <v>56</v>
      </c>
    </row>
    <row r="68" spans="1:13">
      <c r="A68" s="82" t="s">
        <v>87</v>
      </c>
      <c r="B68" s="82" t="s">
        <v>86</v>
      </c>
      <c r="C68" s="82" t="s">
        <v>88</v>
      </c>
    </row>
    <row r="69" spans="1:13">
      <c r="A69" t="s">
        <v>78</v>
      </c>
      <c r="C69">
        <v>0</v>
      </c>
      <c r="D69" t="s">
        <v>97</v>
      </c>
    </row>
    <row r="70" spans="1:13">
      <c r="A70" t="s">
        <v>79</v>
      </c>
      <c r="B70" s="83" t="s">
        <v>89</v>
      </c>
      <c r="C70">
        <v>563.72546399999999</v>
      </c>
    </row>
    <row r="71" spans="1:13">
      <c r="A71" t="s">
        <v>80</v>
      </c>
      <c r="B71" s="83" t="s">
        <v>90</v>
      </c>
      <c r="C71">
        <v>1445.5253909999999</v>
      </c>
    </row>
    <row r="72" spans="1:13">
      <c r="A72" t="s">
        <v>81</v>
      </c>
      <c r="B72" s="83" t="s">
        <v>91</v>
      </c>
      <c r="C72">
        <v>1934.530518</v>
      </c>
    </row>
    <row r="73" spans="1:13">
      <c r="A73" t="s">
        <v>82</v>
      </c>
      <c r="B73" s="84" t="s">
        <v>92</v>
      </c>
      <c r="C73">
        <v>2051.720703</v>
      </c>
      <c r="D73" t="s">
        <v>96</v>
      </c>
    </row>
    <row r="74" spans="1:13">
      <c r="A74" t="s">
        <v>83</v>
      </c>
      <c r="B74" s="83" t="s">
        <v>93</v>
      </c>
      <c r="C74">
        <v>1338.232422</v>
      </c>
    </row>
    <row r="75" spans="1:13">
      <c r="A75" t="s">
        <v>84</v>
      </c>
      <c r="B75" s="83" t="s">
        <v>94</v>
      </c>
      <c r="C75">
        <v>646.18029799999999</v>
      </c>
    </row>
    <row r="76" spans="1:13">
      <c r="A76" t="s">
        <v>85</v>
      </c>
      <c r="B76" s="83" t="s">
        <v>95</v>
      </c>
      <c r="C76">
        <v>122.000168</v>
      </c>
    </row>
    <row r="78" spans="1:13">
      <c r="A78" s="81" t="s">
        <v>57</v>
      </c>
    </row>
    <row r="79" spans="1:13">
      <c r="A79" s="82" t="s">
        <v>87</v>
      </c>
      <c r="B79" s="82" t="s">
        <v>86</v>
      </c>
      <c r="C79" s="82" t="s">
        <v>88</v>
      </c>
    </row>
    <row r="80" spans="1:13">
      <c r="A80" t="s">
        <v>78</v>
      </c>
      <c r="C80">
        <v>0</v>
      </c>
      <c r="D80" t="s">
        <v>97</v>
      </c>
    </row>
    <row r="81" spans="1:4">
      <c r="A81" t="s">
        <v>79</v>
      </c>
      <c r="B81" s="83" t="s">
        <v>89</v>
      </c>
      <c r="C81">
        <v>592.988831</v>
      </c>
    </row>
    <row r="82" spans="1:4">
      <c r="A82" t="s">
        <v>80</v>
      </c>
      <c r="B82" s="83" t="s">
        <v>90</v>
      </c>
      <c r="C82">
        <v>1711.2398679999999</v>
      </c>
    </row>
    <row r="83" spans="1:4">
      <c r="A83" t="s">
        <v>81</v>
      </c>
      <c r="B83" s="83" t="s">
        <v>91</v>
      </c>
      <c r="C83">
        <v>2319.0771479999999</v>
      </c>
    </row>
    <row r="84" spans="1:4">
      <c r="A84" t="s">
        <v>82</v>
      </c>
      <c r="B84" s="84" t="s">
        <v>92</v>
      </c>
      <c r="C84">
        <v>2538.5986330000001</v>
      </c>
      <c r="D84" t="s">
        <v>96</v>
      </c>
    </row>
    <row r="85" spans="1:4">
      <c r="A85" t="s">
        <v>83</v>
      </c>
      <c r="B85" s="83" t="s">
        <v>93</v>
      </c>
      <c r="C85">
        <v>1731.766846</v>
      </c>
    </row>
    <row r="86" spans="1:4">
      <c r="A86" t="s">
        <v>84</v>
      </c>
      <c r="B86" s="83" t="s">
        <v>94</v>
      </c>
      <c r="C86">
        <v>821.36511199999995</v>
      </c>
    </row>
    <row r="87" spans="1:4">
      <c r="A87" t="s">
        <v>85</v>
      </c>
      <c r="B87" s="83" t="s">
        <v>95</v>
      </c>
      <c r="C87">
        <v>142.479614</v>
      </c>
    </row>
    <row r="89" spans="1:4">
      <c r="A89" s="81" t="s">
        <v>58</v>
      </c>
    </row>
    <row r="90" spans="1:4">
      <c r="A90" s="82" t="s">
        <v>87</v>
      </c>
      <c r="B90" s="82" t="s">
        <v>86</v>
      </c>
      <c r="C90" s="82" t="s">
        <v>88</v>
      </c>
    </row>
    <row r="91" spans="1:4">
      <c r="A91" t="s">
        <v>78</v>
      </c>
      <c r="C91">
        <v>0</v>
      </c>
      <c r="D91" t="s">
        <v>97</v>
      </c>
    </row>
    <row r="92" spans="1:4">
      <c r="A92" t="s">
        <v>79</v>
      </c>
      <c r="B92" s="83" t="s">
        <v>89</v>
      </c>
      <c r="C92">
        <v>783.45465100000001</v>
      </c>
    </row>
    <row r="93" spans="1:4">
      <c r="A93" t="s">
        <v>80</v>
      </c>
      <c r="B93" s="83" t="s">
        <v>90</v>
      </c>
      <c r="C93">
        <v>1920.3408199999999</v>
      </c>
    </row>
    <row r="94" spans="1:4">
      <c r="A94" t="s">
        <v>81</v>
      </c>
      <c r="B94" s="83" t="s">
        <v>91</v>
      </c>
      <c r="C94">
        <v>2584.0134280000002</v>
      </c>
    </row>
    <row r="95" spans="1:4">
      <c r="A95" t="s">
        <v>82</v>
      </c>
      <c r="B95" s="84" t="s">
        <v>92</v>
      </c>
      <c r="C95">
        <v>2797.4953609999998</v>
      </c>
      <c r="D95" t="s">
        <v>96</v>
      </c>
    </row>
    <row r="96" spans="1:4">
      <c r="A96" t="s">
        <v>83</v>
      </c>
      <c r="B96" s="83" t="s">
        <v>93</v>
      </c>
      <c r="C96">
        <v>1913.4670410000001</v>
      </c>
    </row>
    <row r="97" spans="1:4">
      <c r="A97" t="s">
        <v>84</v>
      </c>
      <c r="B97" s="83" t="s">
        <v>94</v>
      </c>
      <c r="C97">
        <v>951.46563700000002</v>
      </c>
    </row>
    <row r="98" spans="1:4">
      <c r="A98" t="s">
        <v>85</v>
      </c>
      <c r="B98" s="83" t="s">
        <v>95</v>
      </c>
      <c r="C98">
        <v>197.551132</v>
      </c>
    </row>
    <row r="100" spans="1:4">
      <c r="A100" s="81" t="s">
        <v>59</v>
      </c>
    </row>
    <row r="101" spans="1:4">
      <c r="A101" s="82" t="s">
        <v>87</v>
      </c>
      <c r="B101" s="82" t="s">
        <v>86</v>
      </c>
      <c r="C101" s="82" t="s">
        <v>88</v>
      </c>
    </row>
    <row r="102" spans="1:4">
      <c r="A102" t="s">
        <v>78</v>
      </c>
      <c r="C102">
        <v>0</v>
      </c>
      <c r="D102" t="s">
        <v>97</v>
      </c>
    </row>
    <row r="103" spans="1:4">
      <c r="A103" t="s">
        <v>79</v>
      </c>
      <c r="B103" s="83" t="s">
        <v>89</v>
      </c>
      <c r="C103">
        <v>909.74578899999995</v>
      </c>
    </row>
    <row r="104" spans="1:4">
      <c r="A104" t="s">
        <v>80</v>
      </c>
      <c r="B104" s="83" t="s">
        <v>90</v>
      </c>
      <c r="C104">
        <v>2167.6672359999998</v>
      </c>
    </row>
    <row r="105" spans="1:4">
      <c r="A105" t="s">
        <v>81</v>
      </c>
      <c r="B105" s="83" t="s">
        <v>91</v>
      </c>
      <c r="C105">
        <v>2813.8764649999998</v>
      </c>
    </row>
    <row r="106" spans="1:4">
      <c r="A106" t="s">
        <v>82</v>
      </c>
      <c r="B106" s="84" t="s">
        <v>92</v>
      </c>
      <c r="C106">
        <v>3043.2138669999999</v>
      </c>
      <c r="D106" t="s">
        <v>96</v>
      </c>
    </row>
    <row r="107" spans="1:4">
      <c r="A107" t="s">
        <v>83</v>
      </c>
      <c r="B107" s="83" t="s">
        <v>93</v>
      </c>
      <c r="C107">
        <v>2023.4764399999999</v>
      </c>
    </row>
    <row r="108" spans="1:4">
      <c r="A108" t="s">
        <v>84</v>
      </c>
      <c r="B108" s="83" t="s">
        <v>94</v>
      </c>
      <c r="C108">
        <v>1016.198364</v>
      </c>
    </row>
    <row r="109" spans="1:4">
      <c r="A109" t="s">
        <v>85</v>
      </c>
      <c r="B109" s="83" t="s">
        <v>95</v>
      </c>
      <c r="C109">
        <v>275.86209100000002</v>
      </c>
    </row>
    <row r="111" spans="1:4">
      <c r="A111" s="81" t="s">
        <v>60</v>
      </c>
    </row>
    <row r="112" spans="1:4">
      <c r="A112" s="82" t="s">
        <v>87</v>
      </c>
      <c r="B112" s="82" t="s">
        <v>86</v>
      </c>
      <c r="C112" s="82" t="s">
        <v>88</v>
      </c>
    </row>
    <row r="113" spans="1:4">
      <c r="A113" t="s">
        <v>78</v>
      </c>
      <c r="C113">
        <v>0</v>
      </c>
      <c r="D113" t="s">
        <v>97</v>
      </c>
    </row>
    <row r="114" spans="1:4">
      <c r="A114" t="s">
        <v>79</v>
      </c>
      <c r="B114" s="83" t="s">
        <v>89</v>
      </c>
      <c r="C114">
        <v>935.93511999999998</v>
      </c>
    </row>
    <row r="115" spans="1:4">
      <c r="A115" t="s">
        <v>80</v>
      </c>
      <c r="B115" s="83" t="s">
        <v>90</v>
      </c>
      <c r="C115">
        <v>2336.4289549999999</v>
      </c>
    </row>
    <row r="116" spans="1:4">
      <c r="A116" t="s">
        <v>81</v>
      </c>
      <c r="B116" s="83" t="s">
        <v>91</v>
      </c>
      <c r="C116">
        <v>3096.766846</v>
      </c>
    </row>
    <row r="117" spans="1:4">
      <c r="A117" t="s">
        <v>82</v>
      </c>
      <c r="B117" s="84" t="s">
        <v>92</v>
      </c>
      <c r="C117">
        <v>3359.8439939999998</v>
      </c>
      <c r="D117" t="s">
        <v>96</v>
      </c>
    </row>
    <row r="118" spans="1:4">
      <c r="A118" t="s">
        <v>83</v>
      </c>
      <c r="B118" s="83" t="s">
        <v>93</v>
      </c>
      <c r="C118">
        <v>2372.3764649999998</v>
      </c>
    </row>
    <row r="119" spans="1:4">
      <c r="A119" t="s">
        <v>84</v>
      </c>
      <c r="B119" s="83" t="s">
        <v>94</v>
      </c>
      <c r="C119">
        <v>1242.138794</v>
      </c>
    </row>
    <row r="120" spans="1:4">
      <c r="A120" t="s">
        <v>85</v>
      </c>
      <c r="B120" s="83" t="s">
        <v>95</v>
      </c>
      <c r="C120">
        <v>343.03744499999999</v>
      </c>
    </row>
    <row r="123" spans="1:4">
      <c r="A123" s="81" t="s">
        <v>61</v>
      </c>
    </row>
    <row r="124" spans="1:4">
      <c r="A124" s="82" t="s">
        <v>87</v>
      </c>
      <c r="B124" s="82" t="s">
        <v>86</v>
      </c>
      <c r="C124" s="82" t="s">
        <v>88</v>
      </c>
    </row>
    <row r="125" spans="1:4">
      <c r="A125" t="s">
        <v>78</v>
      </c>
      <c r="C125">
        <v>0</v>
      </c>
      <c r="D125" t="s">
        <v>97</v>
      </c>
    </row>
    <row r="126" spans="1:4">
      <c r="A126" t="s">
        <v>79</v>
      </c>
      <c r="B126" s="83" t="s">
        <v>89</v>
      </c>
      <c r="C126">
        <v>764.09210199999995</v>
      </c>
    </row>
    <row r="127" spans="1:4">
      <c r="A127" t="s">
        <v>80</v>
      </c>
      <c r="B127" s="83" t="s">
        <v>90</v>
      </c>
      <c r="C127">
        <v>2077.60376</v>
      </c>
    </row>
    <row r="128" spans="1:4">
      <c r="A128" t="s">
        <v>81</v>
      </c>
      <c r="B128" s="83" t="s">
        <v>91</v>
      </c>
      <c r="C128">
        <v>2725.5686040000001</v>
      </c>
    </row>
    <row r="129" spans="1:4">
      <c r="A129" t="s">
        <v>82</v>
      </c>
      <c r="B129" s="84" t="s">
        <v>92</v>
      </c>
      <c r="C129">
        <v>2909.4147950000001</v>
      </c>
      <c r="D129" t="s">
        <v>96</v>
      </c>
    </row>
    <row r="130" spans="1:4">
      <c r="A130" t="s">
        <v>83</v>
      </c>
      <c r="B130" s="83" t="s">
        <v>93</v>
      </c>
      <c r="C130">
        <v>2035.120361</v>
      </c>
    </row>
    <row r="131" spans="1:4">
      <c r="A131" t="s">
        <v>84</v>
      </c>
      <c r="B131" s="83" t="s">
        <v>94</v>
      </c>
      <c r="C131">
        <v>1046.9602050000001</v>
      </c>
    </row>
    <row r="132" spans="1:4">
      <c r="A132" t="s">
        <v>85</v>
      </c>
      <c r="B132" s="83" t="s">
        <v>95</v>
      </c>
      <c r="C132">
        <v>254.77873199999999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020C-94EF-3E47-A643-459343DA1477}">
  <dimension ref="A1:CG8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baseColWidth="10" defaultRowHeight="16"/>
  <cols>
    <col min="1" max="1" width="10" style="92" bestFit="1" customWidth="1"/>
    <col min="2" max="2" width="10" style="92" customWidth="1"/>
    <col min="3" max="3" width="7" style="92" customWidth="1"/>
    <col min="4" max="5" width="8.6640625" style="92" bestFit="1" customWidth="1"/>
    <col min="6" max="6" width="9.83203125" style="92" customWidth="1"/>
    <col min="7" max="8" width="8.6640625" style="92" bestFit="1" customWidth="1"/>
    <col min="9" max="9" width="7.5" style="105" customWidth="1"/>
    <col min="10" max="10" width="6.6640625" style="92" bestFit="1" customWidth="1"/>
    <col min="11" max="11" width="7.5" style="92" bestFit="1" customWidth="1"/>
    <col min="12" max="12" width="8.5" style="92" bestFit="1" customWidth="1"/>
    <col min="13" max="13" width="7.83203125" style="92" bestFit="1" customWidth="1"/>
    <col min="14" max="14" width="8.5" style="92" bestFit="1" customWidth="1"/>
    <col min="15" max="15" width="7.5" style="92" bestFit="1" customWidth="1"/>
    <col min="16" max="16" width="7.5" style="92" customWidth="1"/>
    <col min="17" max="21" width="10.83203125" style="92"/>
    <col min="22" max="22" width="24.1640625" style="92" bestFit="1" customWidth="1"/>
    <col min="23" max="23" width="11.83203125" style="92" bestFit="1" customWidth="1"/>
    <col min="24" max="24" width="10.83203125" style="92"/>
    <col min="25" max="25" width="35.1640625" style="92" bestFit="1" customWidth="1"/>
    <col min="26" max="16384" width="10.83203125" style="92"/>
  </cols>
  <sheetData>
    <row r="1" spans="1:85">
      <c r="C1" s="159" t="s">
        <v>132</v>
      </c>
      <c r="D1" s="160"/>
      <c r="E1" s="160"/>
      <c r="F1" s="160"/>
      <c r="G1" s="160"/>
      <c r="H1" s="161"/>
      <c r="I1" s="102"/>
      <c r="J1" s="162" t="s">
        <v>141</v>
      </c>
      <c r="K1" s="163"/>
      <c r="L1" s="163"/>
      <c r="M1" s="163"/>
      <c r="N1" s="163"/>
      <c r="O1" s="164"/>
      <c r="P1" s="111"/>
      <c r="Q1" s="159" t="s">
        <v>142</v>
      </c>
      <c r="R1" s="160"/>
      <c r="S1" s="160"/>
      <c r="T1" s="160"/>
      <c r="U1" s="161"/>
      <c r="Z1" s="121" t="s">
        <v>149</v>
      </c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</row>
    <row r="2" spans="1:85" ht="44" customHeight="1">
      <c r="A2" s="93" t="s">
        <v>11</v>
      </c>
      <c r="B2" s="93"/>
      <c r="C2" s="98" t="s">
        <v>130</v>
      </c>
      <c r="D2" s="98" t="s">
        <v>131</v>
      </c>
      <c r="E2" s="98" t="s">
        <v>7</v>
      </c>
      <c r="F2" s="98" t="s">
        <v>6</v>
      </c>
      <c r="G2" s="98" t="s">
        <v>5</v>
      </c>
      <c r="H2" s="98" t="s">
        <v>4</v>
      </c>
      <c r="I2" s="103"/>
      <c r="J2" s="98" t="s">
        <v>130</v>
      </c>
      <c r="K2" s="98" t="s">
        <v>131</v>
      </c>
      <c r="L2" s="98" t="s">
        <v>7</v>
      </c>
      <c r="M2" s="98" t="s">
        <v>6</v>
      </c>
      <c r="N2" s="98" t="s">
        <v>5</v>
      </c>
      <c r="O2" s="98" t="s">
        <v>4</v>
      </c>
      <c r="P2" s="103"/>
      <c r="Q2" s="98" t="s">
        <v>131</v>
      </c>
      <c r="R2" s="98" t="s">
        <v>7</v>
      </c>
      <c r="S2" s="98" t="s">
        <v>6</v>
      </c>
      <c r="T2" s="98" t="s">
        <v>5</v>
      </c>
      <c r="U2" s="98" t="s">
        <v>4</v>
      </c>
      <c r="Z2" s="99" t="s">
        <v>131</v>
      </c>
      <c r="AA2" s="99" t="s">
        <v>7</v>
      </c>
      <c r="AB2" s="99" t="s">
        <v>6</v>
      </c>
      <c r="AC2" s="99" t="s">
        <v>5</v>
      </c>
      <c r="AD2" s="99" t="s">
        <v>4</v>
      </c>
      <c r="AE2" s="99" t="s">
        <v>131</v>
      </c>
      <c r="AF2" s="99" t="s">
        <v>7</v>
      </c>
      <c r="AG2" s="99" t="s">
        <v>6</v>
      </c>
      <c r="AH2" s="99" t="s">
        <v>5</v>
      </c>
      <c r="AI2" s="99" t="s">
        <v>4</v>
      </c>
      <c r="AJ2" s="99" t="s">
        <v>131</v>
      </c>
      <c r="AK2" s="99" t="s">
        <v>7</v>
      </c>
      <c r="AL2" s="99" t="s">
        <v>6</v>
      </c>
      <c r="AM2" s="99" t="s">
        <v>5</v>
      </c>
      <c r="AN2" s="99" t="s">
        <v>4</v>
      </c>
      <c r="AO2" s="99" t="s">
        <v>131</v>
      </c>
      <c r="AP2" s="99" t="s">
        <v>7</v>
      </c>
      <c r="AQ2" s="99" t="s">
        <v>6</v>
      </c>
      <c r="AR2" s="99" t="s">
        <v>5</v>
      </c>
      <c r="AS2" s="99" t="s">
        <v>4</v>
      </c>
      <c r="AT2" s="99" t="s">
        <v>131</v>
      </c>
      <c r="AU2" s="99" t="s">
        <v>7</v>
      </c>
      <c r="AV2" s="99" t="s">
        <v>6</v>
      </c>
      <c r="AW2" s="99" t="s">
        <v>5</v>
      </c>
      <c r="AX2" s="99" t="s">
        <v>4</v>
      </c>
      <c r="AY2" s="99" t="s">
        <v>131</v>
      </c>
      <c r="AZ2" s="99" t="s">
        <v>7</v>
      </c>
      <c r="BA2" s="99" t="s">
        <v>6</v>
      </c>
      <c r="BB2" s="99" t="s">
        <v>5</v>
      </c>
      <c r="BC2" s="99" t="s">
        <v>4</v>
      </c>
      <c r="BD2" s="99" t="s">
        <v>131</v>
      </c>
      <c r="BE2" s="99" t="s">
        <v>7</v>
      </c>
      <c r="BF2" s="99" t="s">
        <v>6</v>
      </c>
      <c r="BG2" s="99" t="s">
        <v>5</v>
      </c>
      <c r="BH2" s="99" t="s">
        <v>4</v>
      </c>
      <c r="BI2" s="99" t="s">
        <v>131</v>
      </c>
      <c r="BJ2" s="99" t="s">
        <v>7</v>
      </c>
      <c r="BK2" s="99" t="s">
        <v>6</v>
      </c>
      <c r="BL2" s="99" t="s">
        <v>5</v>
      </c>
      <c r="BM2" s="99" t="s">
        <v>4</v>
      </c>
      <c r="BN2" s="99" t="s">
        <v>131</v>
      </c>
      <c r="BO2" s="99" t="s">
        <v>7</v>
      </c>
      <c r="BP2" s="99" t="s">
        <v>6</v>
      </c>
      <c r="BQ2" s="99" t="s">
        <v>5</v>
      </c>
      <c r="BR2" s="99" t="s">
        <v>4</v>
      </c>
      <c r="BS2" s="99" t="s">
        <v>131</v>
      </c>
      <c r="BT2" s="99" t="s">
        <v>7</v>
      </c>
      <c r="BU2" s="99" t="s">
        <v>6</v>
      </c>
      <c r="BV2" s="99" t="s">
        <v>5</v>
      </c>
      <c r="BW2" s="99" t="s">
        <v>4</v>
      </c>
      <c r="BX2" s="99" t="s">
        <v>131</v>
      </c>
      <c r="BY2" s="99" t="s">
        <v>7</v>
      </c>
      <c r="BZ2" s="99" t="s">
        <v>6</v>
      </c>
      <c r="CA2" s="99" t="s">
        <v>5</v>
      </c>
      <c r="CB2" s="99" t="s">
        <v>4</v>
      </c>
      <c r="CC2" s="99" t="s">
        <v>131</v>
      </c>
      <c r="CD2" s="99" t="s">
        <v>7</v>
      </c>
      <c r="CE2" s="99" t="s">
        <v>6</v>
      </c>
      <c r="CF2" s="99" t="s">
        <v>5</v>
      </c>
      <c r="CG2" s="99" t="s">
        <v>4</v>
      </c>
    </row>
    <row r="3" spans="1:85" ht="15" customHeight="1">
      <c r="A3" s="92" t="s">
        <v>106</v>
      </c>
      <c r="B3" s="92" t="s">
        <v>134</v>
      </c>
      <c r="C3" s="100">
        <v>17597</v>
      </c>
      <c r="D3" s="100">
        <v>6063</v>
      </c>
      <c r="E3" s="100">
        <v>2948</v>
      </c>
      <c r="F3" s="100">
        <v>1553</v>
      </c>
      <c r="G3" s="100">
        <v>5292</v>
      </c>
      <c r="H3" s="100">
        <v>1285</v>
      </c>
      <c r="I3" s="104"/>
      <c r="J3" s="108">
        <f t="shared" ref="J3:J38" si="0">(D3+E3+F3+G3+H3)/C3</f>
        <v>0.97408649201568454</v>
      </c>
      <c r="K3" s="108">
        <f t="shared" ref="K3:K38" si="1">D3/C3</f>
        <v>0.34454736602830027</v>
      </c>
      <c r="L3" s="108">
        <f t="shared" ref="L3:L38" si="2">E3/C3</f>
        <v>0.16752855600386429</v>
      </c>
      <c r="M3" s="108">
        <f t="shared" ref="M3:M38" si="3">F3/C3</f>
        <v>8.8253679604478039E-2</v>
      </c>
      <c r="N3" s="108">
        <f t="shared" ref="N3:N38" si="4">G3/C3</f>
        <v>0.30073307950218786</v>
      </c>
      <c r="O3" s="108">
        <f t="shared" ref="O3:O38" si="5">H3/C3</f>
        <v>7.3023810876854015E-2</v>
      </c>
      <c r="P3" s="108"/>
      <c r="Q3" s="97">
        <f>ABS(100*(K4-K3)/K3)</f>
        <v>4.0405415561573985</v>
      </c>
      <c r="R3" s="97">
        <f t="shared" ref="R3:U3" si="6">ABS(100*(L4-L3)/L3)</f>
        <v>2.4834693315877288</v>
      </c>
      <c r="S3" s="97">
        <f t="shared" si="6"/>
        <v>21.074569718403396</v>
      </c>
      <c r="T3" s="97">
        <f t="shared" si="6"/>
        <v>7.5211038793989298</v>
      </c>
      <c r="U3" s="97">
        <f t="shared" si="6"/>
        <v>50.47756513981917</v>
      </c>
      <c r="V3" s="106" t="s">
        <v>138</v>
      </c>
      <c r="Y3" s="106" t="s">
        <v>138</v>
      </c>
      <c r="Z3" s="99">
        <v>4.0405415561573985</v>
      </c>
      <c r="AA3" s="99">
        <v>2.4834693315877288</v>
      </c>
      <c r="AB3" s="99">
        <v>21.074569718403396</v>
      </c>
      <c r="AC3" s="99">
        <v>7.5211038793989298</v>
      </c>
      <c r="AD3" s="99">
        <v>50.47756513981917</v>
      </c>
      <c r="AE3" s="99">
        <v>3.6106230570545321</v>
      </c>
      <c r="AF3" s="99">
        <v>7.0240243800458755</v>
      </c>
      <c r="AG3" s="99">
        <v>10.661773433684012</v>
      </c>
      <c r="AH3" s="99">
        <v>8.9553928735916752</v>
      </c>
      <c r="AI3" s="99">
        <v>0.53914422483138147</v>
      </c>
      <c r="AJ3" s="99">
        <v>3.796059705041599</v>
      </c>
      <c r="AK3" s="99">
        <v>12.95282547315724</v>
      </c>
      <c r="AL3" s="99">
        <v>80.712963431857432</v>
      </c>
      <c r="AM3" s="99">
        <v>11.397371302406686</v>
      </c>
      <c r="AN3" s="99">
        <v>41.32438759081532</v>
      </c>
      <c r="AO3" s="99">
        <v>2.218007881435379</v>
      </c>
      <c r="AP3" s="99">
        <v>5.3646540742671167</v>
      </c>
      <c r="AQ3" s="99">
        <v>15.037860645644587</v>
      </c>
      <c r="AR3" s="99">
        <v>14.050787170116775</v>
      </c>
      <c r="AS3" s="99">
        <v>28.243206965210373</v>
      </c>
      <c r="AT3" s="99">
        <v>2.9889654357375894</v>
      </c>
      <c r="AU3" s="99">
        <v>0.72053447004392202</v>
      </c>
      <c r="AV3" s="99">
        <v>27.891694617122845</v>
      </c>
      <c r="AW3" s="99">
        <v>8.8797378843444505</v>
      </c>
      <c r="AX3" s="99">
        <v>26.521294182476584</v>
      </c>
      <c r="AY3" s="99">
        <v>1.0047342893087117</v>
      </c>
      <c r="AZ3" s="99">
        <v>18.720335047731847</v>
      </c>
      <c r="BA3" s="99">
        <v>81.751687166782403</v>
      </c>
      <c r="BB3" s="99">
        <v>14.319946286010483</v>
      </c>
      <c r="BC3" s="99">
        <v>43.709871344050171</v>
      </c>
      <c r="BD3" s="99">
        <v>3.6422410517928947</v>
      </c>
      <c r="BE3" s="99">
        <v>1.3486008117791215</v>
      </c>
      <c r="BF3" s="99">
        <v>16.149192449539456</v>
      </c>
      <c r="BG3" s="99">
        <v>11.938963294729785</v>
      </c>
      <c r="BH3" s="99">
        <v>3.1603729857822094</v>
      </c>
      <c r="BI3" s="99">
        <v>2.4017280210922181</v>
      </c>
      <c r="BJ3" s="99">
        <v>1.4195358978199279</v>
      </c>
      <c r="BK3" s="99">
        <v>25.606884645311894</v>
      </c>
      <c r="BL3" s="99">
        <v>10.884046903263016</v>
      </c>
      <c r="BM3" s="99">
        <v>14.772479992262872</v>
      </c>
      <c r="BN3" s="99">
        <v>12.478526482269222</v>
      </c>
      <c r="BO3" s="99">
        <v>8.187862938197231</v>
      </c>
      <c r="BP3" s="99">
        <v>7.8465448674422857</v>
      </c>
      <c r="BQ3" s="99">
        <v>8.0319879174887774</v>
      </c>
      <c r="BR3" s="99">
        <v>42.670016436109393</v>
      </c>
      <c r="BS3" s="99">
        <v>0.83043512042312395</v>
      </c>
      <c r="BT3" s="99">
        <v>19.134831361377806</v>
      </c>
      <c r="BU3" s="99">
        <v>5.3847137424730978</v>
      </c>
      <c r="BV3" s="99">
        <v>33.369045374574419</v>
      </c>
      <c r="BW3" s="99">
        <v>19.844417326126589</v>
      </c>
      <c r="BX3" s="99">
        <v>1.8268998378880057</v>
      </c>
      <c r="BY3" s="99">
        <v>2.549431287364591</v>
      </c>
      <c r="BZ3" s="99">
        <v>11.640297941512742</v>
      </c>
      <c r="CA3" s="99">
        <v>0.29554387252926884</v>
      </c>
      <c r="CB3" s="99">
        <v>6.4882736960900242</v>
      </c>
      <c r="CC3" s="99">
        <v>1.213240367191003</v>
      </c>
      <c r="CD3" s="99">
        <v>27.154469923076832</v>
      </c>
      <c r="CE3" s="99">
        <v>42.747659328887757</v>
      </c>
      <c r="CF3" s="99">
        <v>3.5798795524873315</v>
      </c>
      <c r="CG3" s="99">
        <v>35.971264480677256</v>
      </c>
    </row>
    <row r="4" spans="1:85" ht="15" customHeight="1">
      <c r="A4" s="81" t="s">
        <v>54</v>
      </c>
      <c r="B4" s="81" t="s">
        <v>135</v>
      </c>
      <c r="C4" s="100">
        <v>17482</v>
      </c>
      <c r="D4" s="100">
        <v>5780</v>
      </c>
      <c r="E4" s="100">
        <v>2856</v>
      </c>
      <c r="F4" s="100">
        <v>1868</v>
      </c>
      <c r="G4" s="100">
        <v>4862</v>
      </c>
      <c r="H4" s="100">
        <v>1921</v>
      </c>
      <c r="I4" s="104"/>
      <c r="J4" s="109">
        <f t="shared" si="0"/>
        <v>0.98884566983182698</v>
      </c>
      <c r="K4" s="109">
        <f t="shared" si="1"/>
        <v>0.33062578652328106</v>
      </c>
      <c r="L4" s="109">
        <f t="shared" si="2"/>
        <v>0.16336803569385655</v>
      </c>
      <c r="M4" s="109">
        <f t="shared" si="3"/>
        <v>0.10685276284178012</v>
      </c>
      <c r="N4" s="109">
        <f t="shared" si="4"/>
        <v>0.27811463219311294</v>
      </c>
      <c r="O4" s="109">
        <f t="shared" si="5"/>
        <v>0.10988445257979636</v>
      </c>
      <c r="P4" s="109"/>
      <c r="Q4" s="113">
        <f>ABS(100*(K5-K3)/K3)</f>
        <v>3.0653148466809705</v>
      </c>
      <c r="R4" s="113">
        <f t="shared" ref="R4:U4" si="7">ABS(100*(L5-L3)/L3)</f>
        <v>6.6300673432155817</v>
      </c>
      <c r="S4" s="113">
        <f t="shared" si="7"/>
        <v>25.998282557164476</v>
      </c>
      <c r="T4" s="113">
        <f t="shared" si="7"/>
        <v>7.3683665873321829</v>
      </c>
      <c r="U4" s="113">
        <f t="shared" si="7"/>
        <v>4.6484444430902085</v>
      </c>
      <c r="V4" s="107" t="s">
        <v>139</v>
      </c>
      <c r="W4" s="107" t="s">
        <v>133</v>
      </c>
      <c r="Y4" s="122" t="s">
        <v>139</v>
      </c>
      <c r="Z4" s="99">
        <v>3.0653148466809705</v>
      </c>
      <c r="AA4" s="99">
        <v>6.6300673432155817</v>
      </c>
      <c r="AB4" s="99">
        <v>25.998282557164476</v>
      </c>
      <c r="AC4" s="99">
        <v>7.3683665873321829</v>
      </c>
      <c r="AD4" s="99">
        <v>4.6484444430902085</v>
      </c>
      <c r="AE4" s="99">
        <v>2.7865542406124084</v>
      </c>
      <c r="AF4" s="99">
        <v>39.859063012759087</v>
      </c>
      <c r="AG4" s="99">
        <v>41.758736523193278</v>
      </c>
      <c r="AH4" s="99">
        <v>15.872495797478237</v>
      </c>
      <c r="AI4" s="99">
        <v>4.1408156350729657</v>
      </c>
      <c r="AJ4" s="99">
        <v>1.9832444907303828</v>
      </c>
      <c r="AK4" s="99">
        <v>19.795989880479741</v>
      </c>
      <c r="AL4" s="99">
        <v>110.69857392475981</v>
      </c>
      <c r="AM4" s="99">
        <v>15.160864018217877</v>
      </c>
      <c r="AN4" s="99">
        <v>43.691442203385272</v>
      </c>
      <c r="AO4" s="99">
        <v>0.89104918818251422</v>
      </c>
      <c r="AP4" s="99">
        <v>6.9082728691653825</v>
      </c>
      <c r="AQ4" s="99">
        <v>40.375762682770805</v>
      </c>
      <c r="AR4" s="99">
        <v>8.7359523213441115</v>
      </c>
      <c r="AS4" s="99">
        <v>9.9522928002642121</v>
      </c>
      <c r="AT4" s="99">
        <v>2.8072621571858196</v>
      </c>
      <c r="AU4" s="99">
        <v>8.6675476770678177</v>
      </c>
      <c r="AV4" s="99">
        <v>6.5633691066049042</v>
      </c>
      <c r="AW4" s="99">
        <v>11.168032822509845</v>
      </c>
      <c r="AX4" s="99">
        <v>80.938784576718305</v>
      </c>
      <c r="AY4" s="99">
        <v>4.6604550723431437</v>
      </c>
      <c r="AZ4" s="99">
        <v>3.1678345165681265</v>
      </c>
      <c r="BA4" s="99">
        <v>22.276912030047011</v>
      </c>
      <c r="BB4" s="99">
        <v>18.415140161925844</v>
      </c>
      <c r="BC4" s="99">
        <v>57.757106126307029</v>
      </c>
      <c r="BD4" s="99">
        <v>2.1952510205516176</v>
      </c>
      <c r="BE4" s="99">
        <v>7.4636985789724593</v>
      </c>
      <c r="BF4" s="99">
        <v>37.071891526850784</v>
      </c>
      <c r="BG4" s="99">
        <v>20.315243735290132</v>
      </c>
      <c r="BH4" s="99">
        <v>25.368219106981936</v>
      </c>
      <c r="BI4" s="99">
        <v>0.37726463919479258</v>
      </c>
      <c r="BJ4" s="99">
        <v>4.7927429688576897</v>
      </c>
      <c r="BK4" s="99">
        <v>34.564510400978612</v>
      </c>
      <c r="BL4" s="99">
        <v>3.1880115863562164</v>
      </c>
      <c r="BM4" s="99">
        <v>15.395245212780958</v>
      </c>
      <c r="BN4" s="99">
        <v>6.1119114521673312</v>
      </c>
      <c r="BO4" s="99">
        <v>4.7959563356942407</v>
      </c>
      <c r="BP4" s="99">
        <v>1.9859905307078005</v>
      </c>
      <c r="BQ4" s="99">
        <v>7.51944710972165</v>
      </c>
      <c r="BR4" s="99">
        <v>1.7239802189634852</v>
      </c>
      <c r="BS4" s="99">
        <v>1.3779681502570444</v>
      </c>
      <c r="BT4" s="99">
        <v>22.800720495429719</v>
      </c>
      <c r="BU4" s="99">
        <v>38.762831551030366</v>
      </c>
      <c r="BV4" s="99">
        <v>37.91066231138884</v>
      </c>
      <c r="BW4" s="99">
        <v>1.9728454760651408</v>
      </c>
      <c r="BX4" s="99">
        <v>2.1165002459499238</v>
      </c>
      <c r="BY4" s="99">
        <v>8.0384952044062157</v>
      </c>
      <c r="BZ4" s="99">
        <v>13.756287892033699</v>
      </c>
      <c r="CA4" s="99">
        <v>3.839766054488349</v>
      </c>
      <c r="CB4" s="99">
        <v>15.532947951167698</v>
      </c>
      <c r="CC4" s="99">
        <v>2.1719939266234127</v>
      </c>
      <c r="CD4" s="99">
        <v>8.9404318509767418</v>
      </c>
      <c r="CE4" s="99">
        <v>37.275216082015127</v>
      </c>
      <c r="CF4" s="99">
        <v>8.7260383679728193</v>
      </c>
      <c r="CG4" s="99">
        <v>10.236909730513847</v>
      </c>
    </row>
    <row r="5" spans="1:85">
      <c r="A5" s="92" t="s">
        <v>107</v>
      </c>
      <c r="B5" s="92" t="s">
        <v>136</v>
      </c>
      <c r="C5" s="100">
        <v>15324</v>
      </c>
      <c r="D5" s="100">
        <v>5118</v>
      </c>
      <c r="E5" s="100">
        <v>2397</v>
      </c>
      <c r="F5" s="100">
        <v>1704</v>
      </c>
      <c r="G5" s="100">
        <v>4948</v>
      </c>
      <c r="H5" s="100">
        <v>1067</v>
      </c>
      <c r="I5" s="104"/>
      <c r="J5" s="108">
        <f t="shared" si="0"/>
        <v>0.9941268598277212</v>
      </c>
      <c r="K5" s="108">
        <f t="shared" si="1"/>
        <v>0.33398590446358656</v>
      </c>
      <c r="L5" s="108">
        <f t="shared" si="2"/>
        <v>0.15642129992169146</v>
      </c>
      <c r="M5" s="108">
        <f t="shared" si="3"/>
        <v>0.11119812059514488</v>
      </c>
      <c r="N5" s="108">
        <f t="shared" si="4"/>
        <v>0.3228921952492822</v>
      </c>
      <c r="O5" s="108">
        <f t="shared" si="5"/>
        <v>6.9629339598016191E-2</v>
      </c>
      <c r="P5" s="108"/>
      <c r="Q5" s="114">
        <f>ABS(100*(K5-K4)/K4)</f>
        <v>1.0162903431214652</v>
      </c>
      <c r="R5" s="114">
        <f t="shared" ref="R5:U5" si="8">ABS(100*(L5-L4)/L4)</f>
        <v>4.2522000969534357</v>
      </c>
      <c r="S5" s="114">
        <f t="shared" si="8"/>
        <v>4.0666779574048508</v>
      </c>
      <c r="T5" s="114">
        <f t="shared" si="8"/>
        <v>16.100398135498786</v>
      </c>
      <c r="U5" s="114">
        <f t="shared" si="8"/>
        <v>36.634038789561728</v>
      </c>
      <c r="V5" s="112" t="s">
        <v>140</v>
      </c>
      <c r="Y5" s="123" t="s">
        <v>140</v>
      </c>
      <c r="Z5" s="99">
        <v>1.0162903431214652</v>
      </c>
      <c r="AA5" s="99">
        <v>4.2522000969534357</v>
      </c>
      <c r="AB5" s="99">
        <v>4.0666779574048508</v>
      </c>
      <c r="AC5" s="99">
        <v>16.100398135498786</v>
      </c>
      <c r="AD5" s="99">
        <v>36.634038789561728</v>
      </c>
      <c r="AE5" s="99">
        <v>0.79535166581166072</v>
      </c>
      <c r="AF5" s="99">
        <v>30.680063493141404</v>
      </c>
      <c r="AG5" s="99">
        <v>47.370025195097007</v>
      </c>
      <c r="AH5" s="99">
        <v>7.5974878053817125</v>
      </c>
      <c r="AI5" s="99">
        <v>4.7053283660492546</v>
      </c>
      <c r="AJ5" s="99">
        <v>1.8843461180001349</v>
      </c>
      <c r="AK5" s="99">
        <v>7.8614434581242749</v>
      </c>
      <c r="AL5" s="99">
        <v>16.592949350979591</v>
      </c>
      <c r="AM5" s="99">
        <v>4.247608418770783</v>
      </c>
      <c r="AN5" s="99">
        <v>1.6749088058484378</v>
      </c>
      <c r="AO5" s="99">
        <v>1.3570583545116095</v>
      </c>
      <c r="AP5" s="99">
        <v>11.648049387398766</v>
      </c>
      <c r="AQ5" s="99">
        <v>22.025706923719227</v>
      </c>
      <c r="AR5" s="99">
        <v>6.1836922919726582</v>
      </c>
      <c r="AS5" s="99">
        <v>14.262676829274939</v>
      </c>
      <c r="AT5" s="99">
        <v>0.18730166044297311</v>
      </c>
      <c r="AU5" s="99">
        <v>8.0046897559354857</v>
      </c>
      <c r="AV5" s="99">
        <v>16.676865197829965</v>
      </c>
      <c r="AW5" s="99">
        <v>2.5112909961353562</v>
      </c>
      <c r="AX5" s="99">
        <v>43.010538855030646</v>
      </c>
      <c r="AY5" s="99">
        <v>5.7226871618366957</v>
      </c>
      <c r="AZ5" s="99">
        <v>19.134552954046988</v>
      </c>
      <c r="BA5" s="99">
        <v>32.723093834149132</v>
      </c>
      <c r="BB5" s="99">
        <v>4.7796350473654243</v>
      </c>
      <c r="BC5" s="99">
        <v>9.7747180836498906</v>
      </c>
      <c r="BD5" s="99">
        <v>1.3961392734823015</v>
      </c>
      <c r="BE5" s="99">
        <v>6.1986933966603992</v>
      </c>
      <c r="BF5" s="99">
        <v>18.013641452049796</v>
      </c>
      <c r="BG5" s="99">
        <v>9.511903054917191</v>
      </c>
      <c r="BH5" s="99">
        <v>21.527496923901644</v>
      </c>
      <c r="BI5" s="99">
        <v>2.0742819937784733</v>
      </c>
      <c r="BJ5" s="99">
        <v>6.1253276419411753</v>
      </c>
      <c r="BK5" s="99">
        <v>7.1314767347038535</v>
      </c>
      <c r="BL5" s="99">
        <v>8.6359793611280953</v>
      </c>
      <c r="BM5" s="99">
        <v>26.284807304919717</v>
      </c>
      <c r="BN5" s="99">
        <v>7.2743462537934667</v>
      </c>
      <c r="BO5" s="99">
        <v>3.1352006688963181</v>
      </c>
      <c r="BP5" s="99">
        <v>5.4341604953018043</v>
      </c>
      <c r="BQ5" s="99">
        <v>16.909613109021102</v>
      </c>
      <c r="BR5" s="99">
        <v>28.699818812653181</v>
      </c>
      <c r="BS5" s="99">
        <v>0.55211801170933672</v>
      </c>
      <c r="BT5" s="99">
        <v>35.200076566694641</v>
      </c>
      <c r="BU5" s="99">
        <v>46.660055726451297</v>
      </c>
      <c r="BV5" s="99">
        <v>3.4053006258379037</v>
      </c>
      <c r="BW5" s="99">
        <v>27.218644134818362</v>
      </c>
      <c r="BX5" s="99">
        <v>0.28440462051085935</v>
      </c>
      <c r="BY5" s="99">
        <v>5.3526029819318435</v>
      </c>
      <c r="BZ5" s="99">
        <v>2.3947454566113597</v>
      </c>
      <c r="CA5" s="99">
        <v>3.5547279626377404</v>
      </c>
      <c r="CB5" s="99">
        <v>8.4935870787900392</v>
      </c>
      <c r="CC5" s="99">
        <v>3.4268097327995704</v>
      </c>
      <c r="CD5" s="99">
        <v>25.003645457540763</v>
      </c>
      <c r="CE5" s="99">
        <v>3.8336483222216842</v>
      </c>
      <c r="CF5" s="99">
        <v>5.3372250434875319</v>
      </c>
      <c r="CG5" s="99">
        <v>18.92631862213835</v>
      </c>
    </row>
    <row r="6" spans="1:85">
      <c r="A6" s="92" t="s">
        <v>108</v>
      </c>
      <c r="B6" s="92" t="s">
        <v>134</v>
      </c>
      <c r="C6" s="100">
        <v>18999</v>
      </c>
      <c r="D6" s="100">
        <v>6430</v>
      </c>
      <c r="E6" s="100">
        <v>3111</v>
      </c>
      <c r="F6" s="100">
        <v>2090</v>
      </c>
      <c r="G6" s="100">
        <v>5241</v>
      </c>
      <c r="H6" s="100">
        <v>1646</v>
      </c>
      <c r="I6" s="104"/>
      <c r="J6" s="108">
        <f t="shared" si="0"/>
        <v>0.97468287804621301</v>
      </c>
      <c r="K6" s="108">
        <f t="shared" si="1"/>
        <v>0.33843886520343175</v>
      </c>
      <c r="L6" s="108">
        <f t="shared" si="2"/>
        <v>0.16374546028738354</v>
      </c>
      <c r="M6" s="108">
        <f t="shared" si="3"/>
        <v>0.11000578977840939</v>
      </c>
      <c r="N6" s="108">
        <f t="shared" si="4"/>
        <v>0.27585662403284383</v>
      </c>
      <c r="O6" s="108">
        <f t="shared" si="5"/>
        <v>8.6636138744144428E-2</v>
      </c>
      <c r="P6" s="108"/>
      <c r="Q6" s="97">
        <f>ABS(100*(K7-K6)/K6)</f>
        <v>3.6106230570545321</v>
      </c>
      <c r="R6" s="97">
        <f t="shared" ref="R6:U6" si="9">ABS(100*(L7-L6)/L6)</f>
        <v>7.0240243800458755</v>
      </c>
      <c r="S6" s="97">
        <f t="shared" si="9"/>
        <v>10.661773433684012</v>
      </c>
      <c r="T6" s="97">
        <f t="shared" si="9"/>
        <v>8.9553928735916752</v>
      </c>
      <c r="U6" s="97">
        <f t="shared" si="9"/>
        <v>0.53914422483138147</v>
      </c>
      <c r="V6" s="106" t="s">
        <v>138</v>
      </c>
      <c r="Y6" s="12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</row>
    <row r="7" spans="1:85">
      <c r="A7" s="81" t="s">
        <v>62</v>
      </c>
      <c r="B7" s="81" t="s">
        <v>135</v>
      </c>
      <c r="C7" s="100">
        <v>18220</v>
      </c>
      <c r="D7" s="100">
        <v>6389</v>
      </c>
      <c r="E7" s="100">
        <v>3193</v>
      </c>
      <c r="F7" s="100">
        <v>2218</v>
      </c>
      <c r="G7" s="100">
        <v>4576</v>
      </c>
      <c r="H7" s="100">
        <v>1570</v>
      </c>
      <c r="I7" s="104"/>
      <c r="J7" s="109">
        <f t="shared" si="0"/>
        <v>0.98496158068057083</v>
      </c>
      <c r="K7" s="109">
        <f t="shared" si="1"/>
        <v>0.35065861690450056</v>
      </c>
      <c r="L7" s="109">
        <f t="shared" si="2"/>
        <v>0.1752469813391877</v>
      </c>
      <c r="M7" s="109">
        <f t="shared" si="3"/>
        <v>0.12173435784851812</v>
      </c>
      <c r="N7" s="109">
        <f t="shared" si="4"/>
        <v>0.25115257958287596</v>
      </c>
      <c r="O7" s="109">
        <f t="shared" si="5"/>
        <v>8.616904500548847E-2</v>
      </c>
      <c r="P7" s="109"/>
      <c r="Q7" s="113">
        <f>ABS(100*(K8-K6)/K6)</f>
        <v>2.7865542406124084</v>
      </c>
      <c r="R7" s="113">
        <f t="shared" ref="R7:U7" si="10">ABS(100*(L8-L6)/L6)</f>
        <v>39.859063012759087</v>
      </c>
      <c r="S7" s="113">
        <f t="shared" si="10"/>
        <v>41.758736523193278</v>
      </c>
      <c r="T7" s="113">
        <f t="shared" si="10"/>
        <v>15.872495797478237</v>
      </c>
      <c r="U7" s="113">
        <f t="shared" si="10"/>
        <v>4.1408156350729657</v>
      </c>
      <c r="V7" s="107" t="s">
        <v>139</v>
      </c>
      <c r="W7" s="107" t="s">
        <v>133</v>
      </c>
      <c r="Y7" s="125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</row>
    <row r="8" spans="1:85">
      <c r="A8" s="92" t="s">
        <v>109</v>
      </c>
      <c r="B8" s="92" t="s">
        <v>136</v>
      </c>
      <c r="C8" s="100">
        <v>18964</v>
      </c>
      <c r="D8" s="100">
        <v>6597</v>
      </c>
      <c r="E8" s="100">
        <v>4343</v>
      </c>
      <c r="F8" s="100">
        <v>1215</v>
      </c>
      <c r="G8" s="100">
        <v>4401</v>
      </c>
      <c r="H8" s="100">
        <v>1711</v>
      </c>
      <c r="I8" s="104"/>
      <c r="J8" s="108">
        <f t="shared" si="0"/>
        <v>0.96324615060113905</v>
      </c>
      <c r="K8" s="108">
        <f t="shared" si="1"/>
        <v>0.34786964775363849</v>
      </c>
      <c r="L8" s="108">
        <f t="shared" si="2"/>
        <v>0.22901286648386415</v>
      </c>
      <c r="M8" s="108">
        <f t="shared" si="3"/>
        <v>6.406876186458553E-2</v>
      </c>
      <c r="N8" s="108">
        <f t="shared" si="4"/>
        <v>0.23207129297616536</v>
      </c>
      <c r="O8" s="108">
        <f t="shared" si="5"/>
        <v>9.0223581522885468E-2</v>
      </c>
      <c r="P8" s="108"/>
      <c r="Q8" s="114">
        <f>ABS(100*(K8-K7)/K7)</f>
        <v>0.79535166581166072</v>
      </c>
      <c r="R8" s="114">
        <f t="shared" ref="R8:U8" si="11">ABS(100*(L8-L7)/L7)</f>
        <v>30.680063493141404</v>
      </c>
      <c r="S8" s="114">
        <f t="shared" si="11"/>
        <v>47.370025195097007</v>
      </c>
      <c r="T8" s="114">
        <f t="shared" si="11"/>
        <v>7.5974878053817125</v>
      </c>
      <c r="U8" s="114">
        <f t="shared" si="11"/>
        <v>4.7053283660492546</v>
      </c>
      <c r="V8" s="112" t="s">
        <v>140</v>
      </c>
      <c r="Y8" s="126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</row>
    <row r="9" spans="1:85">
      <c r="A9" s="92" t="s">
        <v>110</v>
      </c>
      <c r="B9" s="92" t="s">
        <v>134</v>
      </c>
      <c r="C9" s="100">
        <v>18094</v>
      </c>
      <c r="D9" s="100">
        <v>6456</v>
      </c>
      <c r="E9" s="100">
        <v>3193</v>
      </c>
      <c r="F9" s="100">
        <v>1134</v>
      </c>
      <c r="G9" s="100">
        <v>6257</v>
      </c>
      <c r="H9" s="100">
        <v>972</v>
      </c>
      <c r="I9" s="104"/>
      <c r="J9" s="108">
        <f t="shared" si="0"/>
        <v>0.99546811097601418</v>
      </c>
      <c r="K9" s="108">
        <f t="shared" si="1"/>
        <v>0.35680336022991049</v>
      </c>
      <c r="L9" s="108">
        <f t="shared" si="2"/>
        <v>0.17646733723886371</v>
      </c>
      <c r="M9" s="108">
        <f t="shared" si="3"/>
        <v>6.2672709185365313E-2</v>
      </c>
      <c r="N9" s="108">
        <f t="shared" si="4"/>
        <v>0.34580523930584722</v>
      </c>
      <c r="O9" s="108">
        <f t="shared" si="5"/>
        <v>5.371946501602741E-2</v>
      </c>
      <c r="P9" s="108"/>
      <c r="Q9" s="97">
        <f>ABS(100*(K10-K9)/K9)</f>
        <v>3.796059705041599</v>
      </c>
      <c r="R9" s="97">
        <f t="shared" ref="R9:U9" si="12">ABS(100*(L10-L9)/L9)</f>
        <v>12.95282547315724</v>
      </c>
      <c r="S9" s="97">
        <f t="shared" si="12"/>
        <v>80.712963431857432</v>
      </c>
      <c r="T9" s="97">
        <f t="shared" si="12"/>
        <v>11.397371302406686</v>
      </c>
      <c r="U9" s="97">
        <f t="shared" si="12"/>
        <v>41.32438759081532</v>
      </c>
      <c r="V9" s="106" t="s">
        <v>138</v>
      </c>
      <c r="Y9" s="106"/>
      <c r="BD9" s="99"/>
    </row>
    <row r="10" spans="1:85">
      <c r="A10" s="81" t="s">
        <v>63</v>
      </c>
      <c r="B10" s="81" t="s">
        <v>135</v>
      </c>
      <c r="C10" s="100">
        <v>16926</v>
      </c>
      <c r="D10" s="100">
        <v>5810</v>
      </c>
      <c r="E10" s="100">
        <v>2600</v>
      </c>
      <c r="F10" s="100">
        <v>1917</v>
      </c>
      <c r="G10" s="100">
        <v>5186</v>
      </c>
      <c r="H10" s="100">
        <v>1285</v>
      </c>
      <c r="I10" s="104"/>
      <c r="J10" s="109">
        <f t="shared" si="0"/>
        <v>0.99243766985702475</v>
      </c>
      <c r="K10" s="109">
        <f t="shared" si="1"/>
        <v>0.34325889164598844</v>
      </c>
      <c r="L10" s="109">
        <f t="shared" si="2"/>
        <v>0.15360983102918588</v>
      </c>
      <c r="M10" s="109">
        <f t="shared" si="3"/>
        <v>0.11325771003190357</v>
      </c>
      <c r="N10" s="109">
        <f t="shared" si="4"/>
        <v>0.30639253219898382</v>
      </c>
      <c r="O10" s="109">
        <f t="shared" si="5"/>
        <v>7.591870495096302E-2</v>
      </c>
      <c r="P10" s="109"/>
      <c r="Q10" s="113">
        <f>ABS(100*(K11-K9)/K9)</f>
        <v>1.9832444907303828</v>
      </c>
      <c r="R10" s="113">
        <f t="shared" ref="R10:U10" si="13">ABS(100*(L11-L9)/L9)</f>
        <v>19.795989880479741</v>
      </c>
      <c r="S10" s="120">
        <f t="shared" si="13"/>
        <v>110.69857392475981</v>
      </c>
      <c r="T10" s="113">
        <f t="shared" si="13"/>
        <v>15.160864018217877</v>
      </c>
      <c r="U10" s="113">
        <f t="shared" si="13"/>
        <v>43.691442203385272</v>
      </c>
      <c r="V10" s="107" t="s">
        <v>139</v>
      </c>
      <c r="W10" s="107" t="s">
        <v>133</v>
      </c>
      <c r="Y10" s="107"/>
      <c r="BD10" s="99"/>
    </row>
    <row r="11" spans="1:85">
      <c r="A11" s="92" t="s">
        <v>111</v>
      </c>
      <c r="B11" s="92" t="s">
        <v>136</v>
      </c>
      <c r="C11" s="100">
        <v>18137</v>
      </c>
      <c r="D11" s="100">
        <v>6343</v>
      </c>
      <c r="E11" s="100">
        <v>2567</v>
      </c>
      <c r="F11" s="100">
        <v>2395</v>
      </c>
      <c r="G11" s="100">
        <v>5321</v>
      </c>
      <c r="H11" s="100">
        <v>1400</v>
      </c>
      <c r="I11" s="104"/>
      <c r="J11" s="108">
        <f t="shared" si="0"/>
        <v>0.99387991398798037</v>
      </c>
      <c r="K11" s="108">
        <f t="shared" si="1"/>
        <v>0.34972707724540991</v>
      </c>
      <c r="L11" s="108">
        <f t="shared" si="2"/>
        <v>0.14153388101670619</v>
      </c>
      <c r="M11" s="108">
        <f t="shared" si="3"/>
        <v>0.13205050449357666</v>
      </c>
      <c r="N11" s="108">
        <f t="shared" si="4"/>
        <v>0.29337817720681481</v>
      </c>
      <c r="O11" s="108">
        <f t="shared" si="5"/>
        <v>7.7190274025472794E-2</v>
      </c>
      <c r="P11" s="108"/>
      <c r="Q11" s="114">
        <f>ABS(100*(K11-K10)/K10)</f>
        <v>1.8843461180001349</v>
      </c>
      <c r="R11" s="114">
        <f t="shared" ref="R11:U11" si="14">ABS(100*(L11-L10)/L10)</f>
        <v>7.8614434581242749</v>
      </c>
      <c r="S11" s="114">
        <f t="shared" si="14"/>
        <v>16.592949350979591</v>
      </c>
      <c r="T11" s="114">
        <f t="shared" si="14"/>
        <v>4.247608418770783</v>
      </c>
      <c r="U11" s="114">
        <f t="shared" si="14"/>
        <v>1.6749088058484378</v>
      </c>
      <c r="V11" s="112" t="s">
        <v>140</v>
      </c>
      <c r="Y11" s="112"/>
      <c r="BD11" s="99"/>
    </row>
    <row r="12" spans="1:85">
      <c r="A12" s="92" t="s">
        <v>112</v>
      </c>
      <c r="B12" s="92" t="s">
        <v>134</v>
      </c>
      <c r="C12" s="100">
        <v>15385</v>
      </c>
      <c r="D12" s="100">
        <v>5384</v>
      </c>
      <c r="E12" s="100">
        <v>2912</v>
      </c>
      <c r="F12" s="100">
        <v>1394</v>
      </c>
      <c r="G12" s="100">
        <v>4600</v>
      </c>
      <c r="H12" s="100">
        <v>957</v>
      </c>
      <c r="I12" s="104"/>
      <c r="J12" s="108">
        <f t="shared" si="0"/>
        <v>0.99103022424439391</v>
      </c>
      <c r="K12" s="108">
        <f t="shared" si="1"/>
        <v>0.34995125121871951</v>
      </c>
      <c r="L12" s="108">
        <f t="shared" si="2"/>
        <v>0.18927526811829704</v>
      </c>
      <c r="M12" s="108">
        <f t="shared" si="3"/>
        <v>9.0607734806629828E-2</v>
      </c>
      <c r="N12" s="108">
        <f t="shared" si="4"/>
        <v>0.29899252518687031</v>
      </c>
      <c r="O12" s="108">
        <f t="shared" si="5"/>
        <v>6.2203444913877151E-2</v>
      </c>
      <c r="P12" s="108"/>
      <c r="Q12" s="97">
        <f>ABS(100*(K13-K12)/K12)</f>
        <v>2.218007881435379</v>
      </c>
      <c r="R12" s="97">
        <f t="shared" ref="R12:U12" si="15">ABS(100*(L13-L12)/L12)</f>
        <v>5.3646540742671167</v>
      </c>
      <c r="S12" s="97">
        <f t="shared" si="15"/>
        <v>15.037860645644587</v>
      </c>
      <c r="T12" s="97">
        <f t="shared" si="15"/>
        <v>14.050787170116775</v>
      </c>
      <c r="U12" s="97">
        <f t="shared" si="15"/>
        <v>28.243206965210373</v>
      </c>
      <c r="V12" s="106" t="s">
        <v>138</v>
      </c>
      <c r="Y12" s="106"/>
      <c r="BD12" s="99"/>
    </row>
    <row r="13" spans="1:85">
      <c r="A13" s="81" t="s">
        <v>64</v>
      </c>
      <c r="B13" s="81" t="s">
        <v>135</v>
      </c>
      <c r="C13" s="100">
        <v>14717</v>
      </c>
      <c r="D13" s="100">
        <v>5036</v>
      </c>
      <c r="E13" s="100">
        <v>2935</v>
      </c>
      <c r="F13" s="100">
        <v>1534</v>
      </c>
      <c r="G13" s="100">
        <v>3782</v>
      </c>
      <c r="H13" s="100">
        <v>1174</v>
      </c>
      <c r="I13" s="104"/>
      <c r="J13" s="109">
        <f t="shared" si="0"/>
        <v>0.98260515050621733</v>
      </c>
      <c r="K13" s="109">
        <f t="shared" si="1"/>
        <v>0.34218930488550658</v>
      </c>
      <c r="L13" s="109">
        <f t="shared" si="2"/>
        <v>0.19942923150098527</v>
      </c>
      <c r="M13" s="109">
        <f t="shared" si="3"/>
        <v>0.10423319970102603</v>
      </c>
      <c r="N13" s="109">
        <f t="shared" si="4"/>
        <v>0.25698172181830536</v>
      </c>
      <c r="O13" s="109">
        <f t="shared" si="5"/>
        <v>7.9771692600394101E-2</v>
      </c>
      <c r="P13" s="109"/>
      <c r="Q13" s="113">
        <f>ABS(100*(K14-K12)/K12)</f>
        <v>0.89104918818251422</v>
      </c>
      <c r="R13" s="113">
        <f t="shared" ref="R13:U13" si="16">ABS(100*(L14-L12)/L12)</f>
        <v>6.9082728691653825</v>
      </c>
      <c r="S13" s="113">
        <f t="shared" si="16"/>
        <v>40.375762682770805</v>
      </c>
      <c r="T13" s="113">
        <f t="shared" si="16"/>
        <v>8.7359523213441115</v>
      </c>
      <c r="U13" s="113">
        <f t="shared" si="16"/>
        <v>9.9522928002642121</v>
      </c>
      <c r="V13" s="107" t="s">
        <v>139</v>
      </c>
      <c r="W13" s="107" t="s">
        <v>133</v>
      </c>
      <c r="Y13" s="107"/>
      <c r="BD13" s="99"/>
    </row>
    <row r="14" spans="1:85">
      <c r="A14" s="92" t="s">
        <v>113</v>
      </c>
      <c r="B14" s="92" t="s">
        <v>136</v>
      </c>
      <c r="C14" s="100">
        <v>15630</v>
      </c>
      <c r="D14" s="100">
        <v>5421</v>
      </c>
      <c r="E14" s="100">
        <v>2754</v>
      </c>
      <c r="F14" s="100">
        <v>1988</v>
      </c>
      <c r="G14" s="100">
        <v>4265</v>
      </c>
      <c r="H14" s="100">
        <v>1069</v>
      </c>
      <c r="I14" s="104"/>
      <c r="J14" s="108">
        <f t="shared" si="0"/>
        <v>0.99149072296865004</v>
      </c>
      <c r="K14" s="108">
        <f t="shared" si="1"/>
        <v>0.34683301343570055</v>
      </c>
      <c r="L14" s="108">
        <f t="shared" si="2"/>
        <v>0.17619961612284069</v>
      </c>
      <c r="M14" s="108">
        <f t="shared" si="3"/>
        <v>0.12719129878438901</v>
      </c>
      <c r="N14" s="108">
        <f t="shared" si="4"/>
        <v>0.27287268074216253</v>
      </c>
      <c r="O14" s="108">
        <f t="shared" si="5"/>
        <v>6.8394113883557262E-2</v>
      </c>
      <c r="P14" s="108"/>
      <c r="Q14" s="114">
        <f>ABS(100*(K14-K13)/K13)</f>
        <v>1.3570583545116095</v>
      </c>
      <c r="R14" s="114">
        <f t="shared" ref="R14:U14" si="17">ABS(100*(L14-L13)/L13)</f>
        <v>11.648049387398766</v>
      </c>
      <c r="S14" s="114">
        <f t="shared" si="17"/>
        <v>22.025706923719227</v>
      </c>
      <c r="T14" s="114">
        <f t="shared" si="17"/>
        <v>6.1836922919726582</v>
      </c>
      <c r="U14" s="114">
        <f t="shared" si="17"/>
        <v>14.262676829274939</v>
      </c>
      <c r="V14" s="112" t="s">
        <v>140</v>
      </c>
      <c r="Y14" s="112"/>
      <c r="BD14" s="99"/>
    </row>
    <row r="15" spans="1:85">
      <c r="A15" s="92" t="s">
        <v>114</v>
      </c>
      <c r="B15" s="92" t="s">
        <v>134</v>
      </c>
      <c r="C15" s="100">
        <v>13776</v>
      </c>
      <c r="D15" s="100">
        <v>5614</v>
      </c>
      <c r="E15" s="100">
        <v>2153</v>
      </c>
      <c r="F15" s="100">
        <v>976</v>
      </c>
      <c r="G15" s="100">
        <v>4350</v>
      </c>
      <c r="H15" s="100">
        <v>606</v>
      </c>
      <c r="I15" s="104"/>
      <c r="J15" s="108">
        <f t="shared" si="0"/>
        <v>0.99441056910569103</v>
      </c>
      <c r="K15" s="108">
        <f t="shared" si="1"/>
        <v>0.40752032520325204</v>
      </c>
      <c r="L15" s="108">
        <f t="shared" si="2"/>
        <v>0.15628629500580721</v>
      </c>
      <c r="M15" s="108">
        <f t="shared" si="3"/>
        <v>7.0847851335656215E-2</v>
      </c>
      <c r="N15" s="108">
        <f t="shared" si="4"/>
        <v>0.31576655052264807</v>
      </c>
      <c r="O15" s="108">
        <f t="shared" si="5"/>
        <v>4.3989547038327526E-2</v>
      </c>
      <c r="P15" s="108"/>
      <c r="Q15" s="97">
        <f>ABS(100*(K16-K15)/K15)</f>
        <v>2.9889654357375894</v>
      </c>
      <c r="R15" s="97">
        <f t="shared" ref="R15:U15" si="18">ABS(100*(L16-L15)/L15)</f>
        <v>0.72053447004392202</v>
      </c>
      <c r="S15" s="97">
        <f t="shared" si="18"/>
        <v>27.891694617122845</v>
      </c>
      <c r="T15" s="97">
        <f t="shared" si="18"/>
        <v>8.8797378843444505</v>
      </c>
      <c r="U15" s="97">
        <f t="shared" si="18"/>
        <v>26.521294182476584</v>
      </c>
      <c r="V15" s="106" t="s">
        <v>138</v>
      </c>
      <c r="Y15" s="106"/>
      <c r="BD15" s="99"/>
    </row>
    <row r="16" spans="1:85">
      <c r="A16" s="81" t="s">
        <v>65</v>
      </c>
      <c r="B16" s="81" t="s">
        <v>135</v>
      </c>
      <c r="C16" s="100">
        <v>12703</v>
      </c>
      <c r="D16" s="100">
        <v>5022</v>
      </c>
      <c r="E16" s="100">
        <v>1971</v>
      </c>
      <c r="F16" s="100">
        <v>1151</v>
      </c>
      <c r="G16" s="100">
        <v>3655</v>
      </c>
      <c r="H16" s="100">
        <v>707</v>
      </c>
      <c r="I16" s="104"/>
      <c r="J16" s="109">
        <f t="shared" si="0"/>
        <v>0.98449185231835001</v>
      </c>
      <c r="K16" s="109">
        <f t="shared" si="1"/>
        <v>0.39533968353932142</v>
      </c>
      <c r="L16" s="109">
        <f t="shared" si="2"/>
        <v>0.15516019837833583</v>
      </c>
      <c r="M16" s="109">
        <f t="shared" si="3"/>
        <v>9.0608517672990635E-2</v>
      </c>
      <c r="N16" s="109">
        <f t="shared" si="4"/>
        <v>0.28772730850980083</v>
      </c>
      <c r="O16" s="109">
        <f t="shared" si="5"/>
        <v>5.5656144217901285E-2</v>
      </c>
      <c r="P16" s="109"/>
      <c r="Q16" s="113">
        <f>ABS(100*(K17-K15)/K15)</f>
        <v>2.8072621571858196</v>
      </c>
      <c r="R16" s="113">
        <f t="shared" ref="R16:U16" si="19">ABS(100*(L17-L15)/L15)</f>
        <v>8.6675476770678177</v>
      </c>
      <c r="S16" s="113">
        <f t="shared" si="19"/>
        <v>6.5633691066049042</v>
      </c>
      <c r="T16" s="113">
        <f t="shared" si="19"/>
        <v>11.168032822509845</v>
      </c>
      <c r="U16" s="113">
        <f t="shared" si="19"/>
        <v>80.938784576718305</v>
      </c>
      <c r="V16" s="107" t="s">
        <v>139</v>
      </c>
      <c r="W16" s="107" t="s">
        <v>133</v>
      </c>
      <c r="Y16" s="107"/>
      <c r="BD16" s="99"/>
    </row>
    <row r="17" spans="1:56">
      <c r="A17" s="92" t="s">
        <v>115</v>
      </c>
      <c r="B17" s="92" t="s">
        <v>136</v>
      </c>
      <c r="C17" s="100">
        <v>15868</v>
      </c>
      <c r="D17" s="100">
        <v>6285</v>
      </c>
      <c r="E17" s="100">
        <v>2265</v>
      </c>
      <c r="F17" s="100">
        <v>1198</v>
      </c>
      <c r="G17" s="100">
        <v>4451</v>
      </c>
      <c r="H17" s="100">
        <v>1263</v>
      </c>
      <c r="I17" s="104"/>
      <c r="J17" s="108">
        <f t="shared" si="0"/>
        <v>0.97441391479707584</v>
      </c>
      <c r="K17" s="108">
        <f t="shared" si="1"/>
        <v>0.39608016133098056</v>
      </c>
      <c r="L17" s="108">
        <f t="shared" si="2"/>
        <v>0.14274010587345601</v>
      </c>
      <c r="M17" s="108">
        <f t="shared" si="3"/>
        <v>7.5497857322914044E-2</v>
      </c>
      <c r="N17" s="108">
        <f t="shared" si="4"/>
        <v>0.2805016385177716</v>
      </c>
      <c r="O17" s="108">
        <f t="shared" si="5"/>
        <v>7.9594151751953612E-2</v>
      </c>
      <c r="P17" s="108"/>
      <c r="Q17" s="114">
        <f>ABS(100*(K17-K16)/K16)</f>
        <v>0.18730166044297311</v>
      </c>
      <c r="R17" s="114">
        <f t="shared" ref="R17:U17" si="20">ABS(100*(L17-L16)/L16)</f>
        <v>8.0046897559354857</v>
      </c>
      <c r="S17" s="114">
        <f t="shared" si="20"/>
        <v>16.676865197829965</v>
      </c>
      <c r="T17" s="114">
        <f t="shared" si="20"/>
        <v>2.5112909961353562</v>
      </c>
      <c r="U17" s="114">
        <f t="shared" si="20"/>
        <v>43.010538855030646</v>
      </c>
      <c r="V17" s="112" t="s">
        <v>140</v>
      </c>
      <c r="Y17" s="112"/>
      <c r="BD17" s="99"/>
    </row>
    <row r="18" spans="1:56">
      <c r="A18" s="92" t="s">
        <v>116</v>
      </c>
      <c r="B18" s="92" t="s">
        <v>134</v>
      </c>
      <c r="C18" s="100">
        <v>17676</v>
      </c>
      <c r="D18" s="100">
        <v>5575</v>
      </c>
      <c r="E18" s="100">
        <v>3058</v>
      </c>
      <c r="F18" s="100">
        <v>1029</v>
      </c>
      <c r="G18" s="100">
        <v>6814</v>
      </c>
      <c r="H18" s="100">
        <v>1090</v>
      </c>
      <c r="I18" s="104"/>
      <c r="J18" s="108">
        <f t="shared" si="0"/>
        <v>0.99377687259560987</v>
      </c>
      <c r="K18" s="108">
        <f t="shared" si="1"/>
        <v>0.31539941163159085</v>
      </c>
      <c r="L18" s="108">
        <f t="shared" si="2"/>
        <v>0.1730029418420457</v>
      </c>
      <c r="M18" s="108">
        <f t="shared" si="3"/>
        <v>5.8214528173794973E-2</v>
      </c>
      <c r="N18" s="108">
        <f t="shared" si="4"/>
        <v>0.38549445575922153</v>
      </c>
      <c r="O18" s="108">
        <f t="shared" si="5"/>
        <v>6.1665535188956774E-2</v>
      </c>
      <c r="P18" s="108"/>
      <c r="Q18" s="97">
        <f>ABS(100*(K19-K18)/K18)</f>
        <v>1.0047342893087117</v>
      </c>
      <c r="R18" s="97">
        <f t="shared" ref="R18:U18" si="21">ABS(100*(L19-L18)/L18)</f>
        <v>18.720335047731847</v>
      </c>
      <c r="S18" s="97">
        <f t="shared" si="21"/>
        <v>81.751687166782403</v>
      </c>
      <c r="T18" s="97">
        <f t="shared" si="21"/>
        <v>14.319946286010483</v>
      </c>
      <c r="U18" s="97">
        <f t="shared" si="21"/>
        <v>43.709871344050171</v>
      </c>
      <c r="V18" s="106" t="s">
        <v>138</v>
      </c>
      <c r="Y18" s="106"/>
      <c r="BD18" s="99"/>
    </row>
    <row r="19" spans="1:56">
      <c r="A19" s="81" t="s">
        <v>66</v>
      </c>
      <c r="B19" s="81" t="s">
        <v>135</v>
      </c>
      <c r="C19" s="100">
        <v>16001</v>
      </c>
      <c r="D19" s="100">
        <v>4996</v>
      </c>
      <c r="E19" s="100">
        <v>2250</v>
      </c>
      <c r="F19" s="100">
        <v>1693</v>
      </c>
      <c r="G19" s="100">
        <v>5285</v>
      </c>
      <c r="H19" s="100">
        <v>1418</v>
      </c>
      <c r="I19" s="104"/>
      <c r="J19" s="109">
        <f t="shared" si="0"/>
        <v>0.97756390225610901</v>
      </c>
      <c r="K19" s="109">
        <f t="shared" si="1"/>
        <v>0.31223048559465033</v>
      </c>
      <c r="L19" s="109">
        <f t="shared" si="2"/>
        <v>0.14061621148678208</v>
      </c>
      <c r="M19" s="109">
        <f t="shared" si="3"/>
        <v>0.10580588713205424</v>
      </c>
      <c r="N19" s="109">
        <f t="shared" si="4"/>
        <v>0.33029185675895256</v>
      </c>
      <c r="O19" s="109">
        <f t="shared" si="5"/>
        <v>8.8619461283669765E-2</v>
      </c>
      <c r="P19" s="109"/>
      <c r="Q19" s="113">
        <f>ABS(100*(K20-K18)/K18)</f>
        <v>4.6604550723431437</v>
      </c>
      <c r="R19" s="113">
        <f t="shared" ref="R19:U19" si="22">ABS(100*(L20-L18)/L18)</f>
        <v>3.1678345165681265</v>
      </c>
      <c r="S19" s="113">
        <f t="shared" si="22"/>
        <v>22.276912030047011</v>
      </c>
      <c r="T19" s="113">
        <f t="shared" si="22"/>
        <v>18.415140161925844</v>
      </c>
      <c r="U19" s="113">
        <f t="shared" si="22"/>
        <v>57.757106126307029</v>
      </c>
      <c r="V19" s="107" t="s">
        <v>139</v>
      </c>
      <c r="W19" s="107" t="s">
        <v>133</v>
      </c>
      <c r="Y19" s="107"/>
      <c r="BD19" s="99"/>
    </row>
    <row r="20" spans="1:56">
      <c r="A20" s="92" t="s">
        <v>117</v>
      </c>
      <c r="B20" s="92" t="s">
        <v>136</v>
      </c>
      <c r="C20" s="100">
        <v>21227</v>
      </c>
      <c r="D20" s="100">
        <v>7007</v>
      </c>
      <c r="E20" s="100">
        <v>3556</v>
      </c>
      <c r="F20" s="100">
        <v>1511</v>
      </c>
      <c r="G20" s="100">
        <v>6676</v>
      </c>
      <c r="H20" s="100">
        <v>2065</v>
      </c>
      <c r="I20" s="104"/>
      <c r="J20" s="108">
        <f t="shared" si="0"/>
        <v>0.98059075705469445</v>
      </c>
      <c r="K20" s="108">
        <f t="shared" si="1"/>
        <v>0.33009845950911576</v>
      </c>
      <c r="L20" s="108">
        <f t="shared" si="2"/>
        <v>0.1675224949356951</v>
      </c>
      <c r="M20" s="108">
        <f t="shared" si="3"/>
        <v>7.1182927403778212E-2</v>
      </c>
      <c r="N20" s="108">
        <f t="shared" si="4"/>
        <v>0.31450511141470766</v>
      </c>
      <c r="O20" s="108">
        <f t="shared" si="5"/>
        <v>9.7281763791397746E-2</v>
      </c>
      <c r="P20" s="108"/>
      <c r="Q20" s="114">
        <f>ABS(100*(K20-K19)/K19)</f>
        <v>5.7226871618366957</v>
      </c>
      <c r="R20" s="114">
        <f t="shared" ref="R20:U20" si="23">ABS(100*(L20-L19)/L19)</f>
        <v>19.134552954046988</v>
      </c>
      <c r="S20" s="114">
        <f t="shared" si="23"/>
        <v>32.723093834149132</v>
      </c>
      <c r="T20" s="114">
        <f t="shared" si="23"/>
        <v>4.7796350473654243</v>
      </c>
      <c r="U20" s="114">
        <f t="shared" si="23"/>
        <v>9.7747180836498906</v>
      </c>
      <c r="V20" s="112" t="s">
        <v>140</v>
      </c>
      <c r="Y20" s="112"/>
      <c r="BD20" s="99"/>
    </row>
    <row r="21" spans="1:56">
      <c r="A21" s="92" t="s">
        <v>118</v>
      </c>
      <c r="B21" s="92" t="s">
        <v>134</v>
      </c>
      <c r="C21" s="100">
        <v>12320</v>
      </c>
      <c r="D21" s="100">
        <v>4293</v>
      </c>
      <c r="E21" s="100">
        <v>2233</v>
      </c>
      <c r="F21" s="100">
        <v>1330</v>
      </c>
      <c r="G21" s="100">
        <v>3634</v>
      </c>
      <c r="H21" s="100">
        <v>741</v>
      </c>
      <c r="I21" s="104"/>
      <c r="J21" s="108">
        <f t="shared" si="0"/>
        <v>0.99277597402597406</v>
      </c>
      <c r="K21" s="108">
        <f t="shared" si="1"/>
        <v>0.34845779220779222</v>
      </c>
      <c r="L21" s="108">
        <f t="shared" si="2"/>
        <v>0.18124999999999999</v>
      </c>
      <c r="M21" s="108">
        <f t="shared" si="3"/>
        <v>0.10795454545454546</v>
      </c>
      <c r="N21" s="108">
        <f t="shared" si="4"/>
        <v>0.29496753246753249</v>
      </c>
      <c r="O21" s="108">
        <f t="shared" si="5"/>
        <v>6.0146103896103899E-2</v>
      </c>
      <c r="P21" s="108"/>
      <c r="Q21" s="97">
        <f>ABS(100*(K22-K21)/K21)</f>
        <v>3.6422410517928947</v>
      </c>
      <c r="R21" s="97">
        <f t="shared" ref="R21:U21" si="24">ABS(100*(L22-L21)/L21)</f>
        <v>1.3486008117791215</v>
      </c>
      <c r="S21" s="97">
        <f t="shared" si="24"/>
        <v>16.149192449539456</v>
      </c>
      <c r="T21" s="97">
        <f t="shared" si="24"/>
        <v>11.938963294729785</v>
      </c>
      <c r="U21" s="97">
        <f t="shared" si="24"/>
        <v>3.1603729857822094</v>
      </c>
      <c r="V21" s="106" t="s">
        <v>138</v>
      </c>
      <c r="Y21" s="106"/>
      <c r="BD21" s="99"/>
    </row>
    <row r="22" spans="1:56">
      <c r="A22" s="81" t="s">
        <v>56</v>
      </c>
      <c r="B22" s="81" t="s">
        <v>135</v>
      </c>
      <c r="C22" s="100">
        <v>11588</v>
      </c>
      <c r="D22" s="100">
        <v>4185</v>
      </c>
      <c r="E22" s="100">
        <v>2072</v>
      </c>
      <c r="F22" s="100">
        <v>1453</v>
      </c>
      <c r="G22" s="100">
        <v>3010</v>
      </c>
      <c r="H22" s="100">
        <v>719</v>
      </c>
      <c r="I22" s="104"/>
      <c r="J22" s="109">
        <f t="shared" si="0"/>
        <v>0.98714187090093197</v>
      </c>
      <c r="K22" s="109">
        <f t="shared" si="1"/>
        <v>0.36114946496375561</v>
      </c>
      <c r="L22" s="109">
        <f t="shared" si="2"/>
        <v>0.17880566102865034</v>
      </c>
      <c r="M22" s="109">
        <f t="shared" si="3"/>
        <v>0.12538833275802555</v>
      </c>
      <c r="N22" s="109">
        <f t="shared" si="4"/>
        <v>0.25975146703486363</v>
      </c>
      <c r="O22" s="109">
        <f t="shared" si="5"/>
        <v>6.2046945115636867E-2</v>
      </c>
      <c r="P22" s="109"/>
      <c r="Q22" s="113">
        <f>ABS(100*(K23-K21)/K21)</f>
        <v>2.1952510205516176</v>
      </c>
      <c r="R22" s="113">
        <f t="shared" ref="R22:U22" si="25">ABS(100*(L23-L21)/L21)</f>
        <v>7.4636985789724593</v>
      </c>
      <c r="S22" s="113">
        <f t="shared" si="25"/>
        <v>37.071891526850784</v>
      </c>
      <c r="T22" s="113">
        <f t="shared" si="25"/>
        <v>20.315243735290132</v>
      </c>
      <c r="U22" s="113">
        <f t="shared" si="25"/>
        <v>25.368219106981936</v>
      </c>
      <c r="V22" s="107" t="s">
        <v>139</v>
      </c>
      <c r="W22" s="107" t="s">
        <v>133</v>
      </c>
      <c r="Y22" s="107"/>
      <c r="BD22" s="99"/>
    </row>
    <row r="23" spans="1:56">
      <c r="A23" s="92" t="s">
        <v>119</v>
      </c>
      <c r="B23" s="92" t="s">
        <v>136</v>
      </c>
      <c r="C23" s="100">
        <v>12002</v>
      </c>
      <c r="D23" s="100">
        <v>4274</v>
      </c>
      <c r="E23" s="100">
        <v>2013</v>
      </c>
      <c r="F23" s="100">
        <v>1776</v>
      </c>
      <c r="G23" s="100">
        <v>2821</v>
      </c>
      <c r="H23" s="100">
        <v>905</v>
      </c>
      <c r="I23" s="104"/>
      <c r="J23" s="108">
        <f t="shared" si="0"/>
        <v>0.98225295784035993</v>
      </c>
      <c r="K23" s="108">
        <f t="shared" si="1"/>
        <v>0.35610731544742541</v>
      </c>
      <c r="L23" s="108">
        <f t="shared" si="2"/>
        <v>0.16772204632561241</v>
      </c>
      <c r="M23" s="108">
        <f t="shared" si="3"/>
        <v>0.14797533744375937</v>
      </c>
      <c r="N23" s="108">
        <f t="shared" si="4"/>
        <v>0.23504415930678221</v>
      </c>
      <c r="O23" s="108">
        <f t="shared" si="5"/>
        <v>7.5404099316780535E-2</v>
      </c>
      <c r="P23" s="108"/>
      <c r="Q23" s="114">
        <f>ABS(100*(K23-K22)/K22)</f>
        <v>1.3961392734823015</v>
      </c>
      <c r="R23" s="114">
        <f t="shared" ref="R23:U23" si="26">ABS(100*(L23-L22)/L22)</f>
        <v>6.1986933966603992</v>
      </c>
      <c r="S23" s="114">
        <f t="shared" si="26"/>
        <v>18.013641452049796</v>
      </c>
      <c r="T23" s="114">
        <f t="shared" si="26"/>
        <v>9.511903054917191</v>
      </c>
      <c r="U23" s="114">
        <f t="shared" si="26"/>
        <v>21.527496923901644</v>
      </c>
      <c r="V23" s="112" t="s">
        <v>140</v>
      </c>
      <c r="Y23" s="112"/>
    </row>
    <row r="24" spans="1:56">
      <c r="A24" s="92" t="s">
        <v>120</v>
      </c>
      <c r="B24" s="92" t="s">
        <v>134</v>
      </c>
      <c r="C24" s="100">
        <v>15000</v>
      </c>
      <c r="D24" s="100">
        <v>4796</v>
      </c>
      <c r="E24" s="100">
        <v>2324</v>
      </c>
      <c r="F24" s="100">
        <v>1408</v>
      </c>
      <c r="G24" s="100">
        <v>4627</v>
      </c>
      <c r="H24" s="100">
        <v>1416</v>
      </c>
      <c r="I24" s="104"/>
      <c r="J24" s="108">
        <f t="shared" si="0"/>
        <v>0.97140000000000004</v>
      </c>
      <c r="K24" s="108">
        <f t="shared" si="1"/>
        <v>0.31973333333333331</v>
      </c>
      <c r="L24" s="108">
        <f t="shared" si="2"/>
        <v>0.15493333333333334</v>
      </c>
      <c r="M24" s="108">
        <f t="shared" si="3"/>
        <v>9.3866666666666668E-2</v>
      </c>
      <c r="N24" s="108">
        <f t="shared" si="4"/>
        <v>0.30846666666666667</v>
      </c>
      <c r="O24" s="108">
        <f t="shared" si="5"/>
        <v>9.4399999999999998E-2</v>
      </c>
      <c r="P24" s="108"/>
      <c r="Q24" s="97">
        <f>ABS(100*(K25-K24)/K24)</f>
        <v>2.4017280210922181</v>
      </c>
      <c r="R24" s="97">
        <f t="shared" ref="R24:U24" si="27">ABS(100*(L25-L24)/L24)</f>
        <v>1.4195358978199279</v>
      </c>
      <c r="S24" s="97">
        <f t="shared" si="27"/>
        <v>25.606884645311894</v>
      </c>
      <c r="T24" s="97">
        <f t="shared" si="27"/>
        <v>10.884046903263016</v>
      </c>
      <c r="U24" s="97">
        <f t="shared" si="27"/>
        <v>14.772479992262872</v>
      </c>
      <c r="V24" s="106" t="s">
        <v>138</v>
      </c>
      <c r="Y24" s="106"/>
    </row>
    <row r="25" spans="1:56">
      <c r="A25" s="81" t="s">
        <v>57</v>
      </c>
      <c r="B25" s="81" t="s">
        <v>135</v>
      </c>
      <c r="C25" s="100">
        <v>14020</v>
      </c>
      <c r="D25" s="100">
        <v>4375</v>
      </c>
      <c r="E25" s="100">
        <v>2203</v>
      </c>
      <c r="F25" s="100">
        <v>1653</v>
      </c>
      <c r="G25" s="100">
        <v>3854</v>
      </c>
      <c r="H25" s="100">
        <v>1519</v>
      </c>
      <c r="I25" s="104"/>
      <c r="J25" s="109">
        <f t="shared" si="0"/>
        <v>0.9703281027104137</v>
      </c>
      <c r="K25" s="109">
        <f t="shared" si="1"/>
        <v>0.31205420827389446</v>
      </c>
      <c r="L25" s="109">
        <f t="shared" si="2"/>
        <v>0.15713266761768901</v>
      </c>
      <c r="M25" s="109">
        <f t="shared" si="3"/>
        <v>0.11790299572039943</v>
      </c>
      <c r="N25" s="109">
        <f t="shared" si="4"/>
        <v>0.27489300998573468</v>
      </c>
      <c r="O25" s="109">
        <f t="shared" si="5"/>
        <v>0.10834522111269615</v>
      </c>
      <c r="P25" s="109"/>
      <c r="Q25" s="113">
        <f>ABS(100*(K26-K24)/K24)</f>
        <v>0.37726463919479258</v>
      </c>
      <c r="R25" s="113">
        <f t="shared" ref="R25:U25" si="28">ABS(100*(L26-L24)/L24)</f>
        <v>4.7927429688576897</v>
      </c>
      <c r="S25" s="113">
        <f t="shared" si="28"/>
        <v>34.564510400978612</v>
      </c>
      <c r="T25" s="113">
        <f t="shared" si="28"/>
        <v>3.1880115863562164</v>
      </c>
      <c r="U25" s="113">
        <f t="shared" si="28"/>
        <v>15.395245212780958</v>
      </c>
      <c r="V25" s="107" t="s">
        <v>139</v>
      </c>
      <c r="W25" s="107" t="s">
        <v>133</v>
      </c>
      <c r="Y25" s="107"/>
    </row>
    <row r="26" spans="1:56">
      <c r="A26" s="92" t="s">
        <v>121</v>
      </c>
      <c r="B26" s="92" t="s">
        <v>136</v>
      </c>
      <c r="C26" s="100">
        <v>13823</v>
      </c>
      <c r="D26" s="100">
        <v>4403</v>
      </c>
      <c r="E26" s="100">
        <v>2039</v>
      </c>
      <c r="F26" s="100">
        <v>1746</v>
      </c>
      <c r="G26" s="100">
        <v>4128</v>
      </c>
      <c r="H26" s="100">
        <v>1104</v>
      </c>
      <c r="I26" s="104"/>
      <c r="J26" s="108">
        <f t="shared" si="0"/>
        <v>0.9708456919626709</v>
      </c>
      <c r="K26" s="108">
        <f t="shared" si="1"/>
        <v>0.31852709252694783</v>
      </c>
      <c r="L26" s="108">
        <f t="shared" si="2"/>
        <v>0.14750777689358316</v>
      </c>
      <c r="M26" s="108">
        <f t="shared" si="3"/>
        <v>0.1263112204297186</v>
      </c>
      <c r="N26" s="108">
        <f t="shared" si="4"/>
        <v>0.29863271359328653</v>
      </c>
      <c r="O26" s="108">
        <f t="shared" si="5"/>
        <v>7.9866888519134774E-2</v>
      </c>
      <c r="P26" s="108"/>
      <c r="Q26" s="114">
        <f>ABS(100*(K26-K25)/K25)</f>
        <v>2.0742819937784733</v>
      </c>
      <c r="R26" s="114">
        <f t="shared" ref="R26:U26" si="29">ABS(100*(L26-L25)/L25)</f>
        <v>6.1253276419411753</v>
      </c>
      <c r="S26" s="114">
        <f t="shared" si="29"/>
        <v>7.1314767347038535</v>
      </c>
      <c r="T26" s="114">
        <f t="shared" si="29"/>
        <v>8.6359793611280953</v>
      </c>
      <c r="U26" s="114">
        <f t="shared" si="29"/>
        <v>26.284807304919717</v>
      </c>
      <c r="V26" s="112" t="s">
        <v>140</v>
      </c>
      <c r="Y26" s="112"/>
    </row>
    <row r="27" spans="1:56">
      <c r="A27" s="92" t="s">
        <v>122</v>
      </c>
      <c r="B27" s="92" t="s">
        <v>134</v>
      </c>
      <c r="C27" s="100">
        <v>16456</v>
      </c>
      <c r="D27" s="100">
        <v>5393</v>
      </c>
      <c r="E27" s="100">
        <v>3092</v>
      </c>
      <c r="F27" s="100">
        <v>1737</v>
      </c>
      <c r="G27" s="100">
        <v>4737</v>
      </c>
      <c r="H27" s="100">
        <v>1170</v>
      </c>
      <c r="I27" s="104"/>
      <c r="J27" s="108">
        <f t="shared" si="0"/>
        <v>0.98012882839086046</v>
      </c>
      <c r="K27" s="108">
        <f t="shared" si="1"/>
        <v>0.327722411278561</v>
      </c>
      <c r="L27" s="108">
        <f t="shared" si="2"/>
        <v>0.18789499270782692</v>
      </c>
      <c r="M27" s="108">
        <f t="shared" si="3"/>
        <v>0.10555420515313564</v>
      </c>
      <c r="N27" s="108">
        <f t="shared" si="4"/>
        <v>0.28785853184248905</v>
      </c>
      <c r="O27" s="108">
        <f t="shared" si="5"/>
        <v>7.1098687408847838E-2</v>
      </c>
      <c r="P27" s="108"/>
      <c r="Q27" s="97">
        <f>ABS(100*(K28-K27)/K27)</f>
        <v>12.478526482269222</v>
      </c>
      <c r="R27" s="97">
        <f t="shared" ref="R27:U27" si="30">ABS(100*(L28-L27)/L27)</f>
        <v>8.187862938197231</v>
      </c>
      <c r="S27" s="97">
        <f t="shared" si="30"/>
        <v>7.8465448674422857</v>
      </c>
      <c r="T27" s="97">
        <f t="shared" si="30"/>
        <v>8.0319879174887774</v>
      </c>
      <c r="U27" s="97">
        <f t="shared" si="30"/>
        <v>42.670016436109393</v>
      </c>
      <c r="V27" s="106" t="s">
        <v>138</v>
      </c>
      <c r="Y27" s="106"/>
    </row>
    <row r="28" spans="1:56">
      <c r="A28" s="81" t="s">
        <v>58</v>
      </c>
      <c r="B28" s="81" t="s">
        <v>135</v>
      </c>
      <c r="C28" s="100">
        <v>14758</v>
      </c>
      <c r="D28" s="100">
        <v>4233</v>
      </c>
      <c r="E28" s="100">
        <v>3000</v>
      </c>
      <c r="F28" s="100">
        <v>1680</v>
      </c>
      <c r="G28" s="100">
        <v>3907</v>
      </c>
      <c r="H28" s="100">
        <v>1497</v>
      </c>
      <c r="I28" s="104"/>
      <c r="J28" s="109">
        <f t="shared" si="0"/>
        <v>0.97011790215476357</v>
      </c>
      <c r="K28" s="109">
        <f t="shared" si="1"/>
        <v>0.28682748339883452</v>
      </c>
      <c r="L28" s="109">
        <f t="shared" si="2"/>
        <v>0.20327957717847947</v>
      </c>
      <c r="M28" s="109">
        <f t="shared" si="3"/>
        <v>0.11383656321994851</v>
      </c>
      <c r="N28" s="109">
        <f t="shared" si="4"/>
        <v>0.26473776934543974</v>
      </c>
      <c r="O28" s="109">
        <f t="shared" si="5"/>
        <v>0.10143650901206125</v>
      </c>
      <c r="P28" s="109"/>
      <c r="Q28" s="113">
        <f>ABS(100*(K29-K27)/K27)</f>
        <v>6.1119114521673312</v>
      </c>
      <c r="R28" s="113">
        <f t="shared" ref="R28:U28" si="31">ABS(100*(L29-L27)/L27)</f>
        <v>4.7959563356942407</v>
      </c>
      <c r="S28" s="113">
        <f t="shared" si="31"/>
        <v>1.9859905307078005</v>
      </c>
      <c r="T28" s="113">
        <f t="shared" si="31"/>
        <v>7.51944710972165</v>
      </c>
      <c r="U28" s="113">
        <f t="shared" si="31"/>
        <v>1.7239802189634852</v>
      </c>
      <c r="V28" s="107" t="s">
        <v>139</v>
      </c>
      <c r="W28" s="107" t="s">
        <v>133</v>
      </c>
      <c r="Y28" s="107"/>
    </row>
    <row r="29" spans="1:56">
      <c r="A29" s="92" t="s">
        <v>123</v>
      </c>
      <c r="B29" s="92" t="s">
        <v>136</v>
      </c>
      <c r="C29" s="100">
        <v>14352</v>
      </c>
      <c r="D29" s="100">
        <v>4416</v>
      </c>
      <c r="E29" s="100">
        <v>2826</v>
      </c>
      <c r="F29" s="100">
        <v>1545</v>
      </c>
      <c r="G29" s="100">
        <v>4442</v>
      </c>
      <c r="H29" s="100">
        <v>1038</v>
      </c>
      <c r="I29" s="104"/>
      <c r="J29" s="108">
        <f t="shared" si="0"/>
        <v>0.99407748049052402</v>
      </c>
      <c r="K29" s="108">
        <f t="shared" si="1"/>
        <v>0.30769230769230771</v>
      </c>
      <c r="L29" s="108">
        <f t="shared" si="2"/>
        <v>0.19690635451505017</v>
      </c>
      <c r="M29" s="108">
        <f t="shared" si="3"/>
        <v>0.1076505016722408</v>
      </c>
      <c r="N29" s="108">
        <f t="shared" si="4"/>
        <v>0.30950390189520627</v>
      </c>
      <c r="O29" s="108">
        <f t="shared" si="5"/>
        <v>7.2324414715719057E-2</v>
      </c>
      <c r="P29" s="108"/>
      <c r="Q29" s="114">
        <f>ABS(100*(K29-K28)/K28)</f>
        <v>7.2743462537934667</v>
      </c>
      <c r="R29" s="114">
        <f t="shared" ref="R29:U29" si="32">ABS(100*(L29-L28)/L28)</f>
        <v>3.1352006688963181</v>
      </c>
      <c r="S29" s="114">
        <f t="shared" si="32"/>
        <v>5.4341604953018043</v>
      </c>
      <c r="T29" s="114">
        <f t="shared" si="32"/>
        <v>16.909613109021102</v>
      </c>
      <c r="U29" s="114">
        <f t="shared" si="32"/>
        <v>28.699818812653181</v>
      </c>
      <c r="V29" s="112" t="s">
        <v>140</v>
      </c>
      <c r="Y29" s="112"/>
    </row>
    <row r="30" spans="1:56">
      <c r="A30" s="92" t="s">
        <v>124</v>
      </c>
      <c r="B30" s="92" t="s">
        <v>134</v>
      </c>
      <c r="C30" s="100">
        <v>19273</v>
      </c>
      <c r="D30" s="100">
        <v>6249</v>
      </c>
      <c r="E30" s="100">
        <v>3581</v>
      </c>
      <c r="F30" s="100">
        <v>1950</v>
      </c>
      <c r="G30" s="100">
        <v>4261</v>
      </c>
      <c r="H30" s="100">
        <v>1138</v>
      </c>
      <c r="I30" s="104"/>
      <c r="J30" s="108">
        <f t="shared" si="0"/>
        <v>0.89135059409536654</v>
      </c>
      <c r="K30" s="108">
        <f t="shared" si="1"/>
        <v>0.32423597779276708</v>
      </c>
      <c r="L30" s="108">
        <f t="shared" si="2"/>
        <v>0.18580397447205935</v>
      </c>
      <c r="M30" s="108">
        <f t="shared" si="3"/>
        <v>0.10117781352150677</v>
      </c>
      <c r="N30" s="108">
        <f t="shared" si="4"/>
        <v>0.22108649405904635</v>
      </c>
      <c r="O30" s="108">
        <f t="shared" si="5"/>
        <v>5.904633424998703E-2</v>
      </c>
      <c r="P30" s="108"/>
      <c r="Q30" s="97">
        <f>ABS(100*(K31-K30)/K30)</f>
        <v>0.83043512042312395</v>
      </c>
      <c r="R30" s="97">
        <f t="shared" ref="R30:U30" si="33">ABS(100*(L31-L30)/L30)</f>
        <v>19.134831361377806</v>
      </c>
      <c r="S30" s="97">
        <f t="shared" si="33"/>
        <v>5.3847137424730978</v>
      </c>
      <c r="T30" s="97">
        <f t="shared" si="33"/>
        <v>33.369045374574419</v>
      </c>
      <c r="U30" s="97">
        <f t="shared" si="33"/>
        <v>19.844417326126589</v>
      </c>
      <c r="V30" s="106" t="s">
        <v>138</v>
      </c>
      <c r="Y30" s="106"/>
    </row>
    <row r="31" spans="1:56">
      <c r="A31" s="81" t="s">
        <v>59</v>
      </c>
      <c r="B31" s="81" t="s">
        <v>135</v>
      </c>
      <c r="C31" s="100">
        <v>17727</v>
      </c>
      <c r="D31" s="100">
        <v>5700</v>
      </c>
      <c r="E31" s="100">
        <v>3924</v>
      </c>
      <c r="F31" s="100">
        <v>1697</v>
      </c>
      <c r="G31" s="100">
        <v>5227</v>
      </c>
      <c r="H31" s="100">
        <v>839</v>
      </c>
      <c r="I31" s="104"/>
      <c r="J31" s="109">
        <f t="shared" si="0"/>
        <v>0.98082021774693973</v>
      </c>
      <c r="K31" s="109">
        <f t="shared" si="1"/>
        <v>0.32154340836012862</v>
      </c>
      <c r="L31" s="109">
        <f t="shared" si="2"/>
        <v>0.22135725165002537</v>
      </c>
      <c r="M31" s="109">
        <f t="shared" si="3"/>
        <v>9.5729677892480394E-2</v>
      </c>
      <c r="N31" s="109">
        <f t="shared" si="4"/>
        <v>0.2948609465786653</v>
      </c>
      <c r="O31" s="109">
        <f t="shared" si="5"/>
        <v>4.7328933265639986E-2</v>
      </c>
      <c r="P31" s="109"/>
      <c r="Q31" s="113">
        <f>ABS(100*(K32-K30)/K30)</f>
        <v>1.3779681502570444</v>
      </c>
      <c r="R31" s="113">
        <f t="shared" ref="R31:U31" si="34">ABS(100*(L32-L30)/L30)</f>
        <v>22.800720495429719</v>
      </c>
      <c r="S31" s="113">
        <f t="shared" si="34"/>
        <v>38.762831551030366</v>
      </c>
      <c r="T31" s="113">
        <f t="shared" si="34"/>
        <v>37.91066231138884</v>
      </c>
      <c r="U31" s="113">
        <f t="shared" si="34"/>
        <v>1.9728454760651408</v>
      </c>
      <c r="V31" s="107" t="s">
        <v>139</v>
      </c>
      <c r="W31" s="107" t="s">
        <v>133</v>
      </c>
      <c r="Y31" s="107"/>
    </row>
    <row r="32" spans="1:56">
      <c r="A32" s="92" t="s">
        <v>125</v>
      </c>
      <c r="B32" s="92" t="s">
        <v>136</v>
      </c>
      <c r="C32" s="100">
        <v>17422</v>
      </c>
      <c r="D32" s="100">
        <v>5571</v>
      </c>
      <c r="E32" s="100">
        <v>2499</v>
      </c>
      <c r="F32" s="100">
        <v>2446</v>
      </c>
      <c r="G32" s="100">
        <v>5312</v>
      </c>
      <c r="H32" s="100">
        <v>1049</v>
      </c>
      <c r="I32" s="104"/>
      <c r="J32" s="108">
        <f t="shared" si="0"/>
        <v>0.9687177132361382</v>
      </c>
      <c r="K32" s="108">
        <f t="shared" si="1"/>
        <v>0.31976810928710825</v>
      </c>
      <c r="L32" s="108">
        <f t="shared" si="2"/>
        <v>0.14343932958328551</v>
      </c>
      <c r="M32" s="108">
        <f t="shared" si="3"/>
        <v>0.14039719894386407</v>
      </c>
      <c r="N32" s="108">
        <f t="shared" si="4"/>
        <v>0.30490184823786015</v>
      </c>
      <c r="O32" s="108">
        <f t="shared" si="5"/>
        <v>6.0211227184020201E-2</v>
      </c>
      <c r="P32" s="108"/>
      <c r="Q32" s="114">
        <f>ABS(100*(K32-K31)/K31)</f>
        <v>0.55211801170933672</v>
      </c>
      <c r="R32" s="114">
        <f t="shared" ref="R32:U32" si="35">ABS(100*(L32-L31)/L31)</f>
        <v>35.200076566694641</v>
      </c>
      <c r="S32" s="114">
        <f t="shared" si="35"/>
        <v>46.660055726451297</v>
      </c>
      <c r="T32" s="114">
        <f t="shared" si="35"/>
        <v>3.4053006258379037</v>
      </c>
      <c r="U32" s="114">
        <f t="shared" si="35"/>
        <v>27.218644134818362</v>
      </c>
      <c r="V32" s="112" t="s">
        <v>140</v>
      </c>
      <c r="Y32" s="112"/>
    </row>
    <row r="33" spans="1:25">
      <c r="A33" s="92" t="s">
        <v>126</v>
      </c>
      <c r="B33" s="92" t="s">
        <v>134</v>
      </c>
      <c r="C33" s="100">
        <v>21426</v>
      </c>
      <c r="D33" s="100">
        <v>6616</v>
      </c>
      <c r="E33" s="100">
        <v>3816</v>
      </c>
      <c r="F33" s="100">
        <v>3287</v>
      </c>
      <c r="G33" s="100">
        <v>5611</v>
      </c>
      <c r="H33" s="100">
        <v>1878</v>
      </c>
      <c r="I33" s="104"/>
      <c r="J33" s="108">
        <f t="shared" si="0"/>
        <v>0.98982544572015307</v>
      </c>
      <c r="K33" s="108">
        <f t="shared" si="1"/>
        <v>0.30878372071315224</v>
      </c>
      <c r="L33" s="108">
        <f t="shared" si="2"/>
        <v>0.17810137216465977</v>
      </c>
      <c r="M33" s="108">
        <f t="shared" si="3"/>
        <v>0.15341174274246244</v>
      </c>
      <c r="N33" s="108">
        <f t="shared" si="4"/>
        <v>0.26187809203771117</v>
      </c>
      <c r="O33" s="108">
        <f t="shared" si="5"/>
        <v>8.7650518062167462E-2</v>
      </c>
      <c r="P33" s="108"/>
      <c r="Q33" s="97">
        <f>ABS(100*(K34-K33)/K33)</f>
        <v>1.8268998378880057</v>
      </c>
      <c r="R33" s="97">
        <f t="shared" ref="R33:T33" si="36">ABS(100*(L34-L33)/L33)</f>
        <v>2.549431287364591</v>
      </c>
      <c r="S33" s="97">
        <f t="shared" si="36"/>
        <v>11.640297941512742</v>
      </c>
      <c r="T33" s="97">
        <f t="shared" si="36"/>
        <v>0.29554387252926884</v>
      </c>
      <c r="U33" s="97">
        <f>ABS(100*(O34-O33)/O33)</f>
        <v>6.4882736960900242</v>
      </c>
      <c r="V33" s="106" t="s">
        <v>138</v>
      </c>
      <c r="Y33" s="106"/>
    </row>
    <row r="34" spans="1:25">
      <c r="A34" s="81" t="s">
        <v>60</v>
      </c>
      <c r="B34" s="81" t="s">
        <v>135</v>
      </c>
      <c r="C34" s="100">
        <v>19092</v>
      </c>
      <c r="D34" s="100">
        <v>6003</v>
      </c>
      <c r="E34" s="100">
        <v>3487</v>
      </c>
      <c r="F34" s="100">
        <v>2588</v>
      </c>
      <c r="G34" s="100">
        <v>4985</v>
      </c>
      <c r="H34" s="100">
        <v>1782</v>
      </c>
      <c r="I34" s="104"/>
      <c r="J34" s="109">
        <f t="shared" si="0"/>
        <v>0.98706264403938826</v>
      </c>
      <c r="K34" s="109">
        <f t="shared" si="1"/>
        <v>0.31442489000628537</v>
      </c>
      <c r="L34" s="109">
        <f t="shared" si="2"/>
        <v>0.18264194426985125</v>
      </c>
      <c r="M34" s="109">
        <f t="shared" si="3"/>
        <v>0.13555415880997276</v>
      </c>
      <c r="N34" s="109">
        <f t="shared" si="4"/>
        <v>0.26110412738319716</v>
      </c>
      <c r="O34" s="109">
        <f t="shared" si="5"/>
        <v>9.333752357008171E-2</v>
      </c>
      <c r="P34" s="109"/>
      <c r="Q34" s="113">
        <f>ABS(100*(K35-K33)/K33)</f>
        <v>2.1165002459499238</v>
      </c>
      <c r="R34" s="113">
        <f t="shared" ref="R34:U34" si="37">ABS(100*(L35-L33)/L33)</f>
        <v>8.0384952044062157</v>
      </c>
      <c r="S34" s="113">
        <f t="shared" si="37"/>
        <v>13.756287892033699</v>
      </c>
      <c r="T34" s="113">
        <f t="shared" si="37"/>
        <v>3.839766054488349</v>
      </c>
      <c r="U34" s="113">
        <f t="shared" si="37"/>
        <v>15.532947951167698</v>
      </c>
      <c r="V34" s="107" t="s">
        <v>139</v>
      </c>
      <c r="W34" s="107" t="s">
        <v>133</v>
      </c>
      <c r="Y34" s="107"/>
    </row>
    <row r="35" spans="1:25">
      <c r="A35" s="92" t="s">
        <v>127</v>
      </c>
      <c r="B35" s="92" t="s">
        <v>136</v>
      </c>
      <c r="C35" s="100">
        <v>21261</v>
      </c>
      <c r="D35" s="100">
        <v>6704</v>
      </c>
      <c r="E35" s="100">
        <v>4091</v>
      </c>
      <c r="F35" s="100">
        <v>2813</v>
      </c>
      <c r="G35" s="100">
        <v>5354</v>
      </c>
      <c r="H35" s="100">
        <v>2153</v>
      </c>
      <c r="I35" s="104"/>
      <c r="J35" s="108">
        <f t="shared" si="0"/>
        <v>0.9931329664644184</v>
      </c>
      <c r="K35" s="108">
        <f t="shared" si="1"/>
        <v>0.31531912892149944</v>
      </c>
      <c r="L35" s="108">
        <f t="shared" si="2"/>
        <v>0.19241804242509761</v>
      </c>
      <c r="M35" s="108">
        <f t="shared" si="3"/>
        <v>0.13230798175062319</v>
      </c>
      <c r="N35" s="108">
        <f t="shared" si="4"/>
        <v>0.25182258595550538</v>
      </c>
      <c r="O35" s="108">
        <f t="shared" si="5"/>
        <v>0.10126522741169278</v>
      </c>
      <c r="P35" s="108"/>
      <c r="Q35" s="114">
        <f>ABS(100*(K35-K34)/K34)</f>
        <v>0.28440462051085935</v>
      </c>
      <c r="R35" s="114">
        <f t="shared" ref="R35:U35" si="38">ABS(100*(L35-L34)/L34)</f>
        <v>5.3526029819318435</v>
      </c>
      <c r="S35" s="114">
        <f t="shared" si="38"/>
        <v>2.3947454566113597</v>
      </c>
      <c r="T35" s="114">
        <f t="shared" si="38"/>
        <v>3.5547279626377404</v>
      </c>
      <c r="U35" s="114">
        <f t="shared" si="38"/>
        <v>8.4935870787900392</v>
      </c>
      <c r="V35" s="112" t="s">
        <v>140</v>
      </c>
      <c r="Y35" s="112"/>
    </row>
    <row r="36" spans="1:25">
      <c r="A36" s="92" t="s">
        <v>128</v>
      </c>
      <c r="B36" s="92" t="s">
        <v>134</v>
      </c>
      <c r="C36" s="100">
        <v>16109</v>
      </c>
      <c r="D36" s="100">
        <v>5697</v>
      </c>
      <c r="E36" s="100">
        <v>2901</v>
      </c>
      <c r="F36" s="100">
        <v>1262</v>
      </c>
      <c r="G36" s="100">
        <v>5210</v>
      </c>
      <c r="H36" s="100">
        <v>925</v>
      </c>
      <c r="I36" s="104"/>
      <c r="J36" s="108">
        <f t="shared" si="0"/>
        <v>0.99292321062759947</v>
      </c>
      <c r="K36" s="108">
        <f t="shared" si="1"/>
        <v>0.35365323732075238</v>
      </c>
      <c r="L36" s="108">
        <f t="shared" si="2"/>
        <v>0.18008566639766591</v>
      </c>
      <c r="M36" s="108">
        <f t="shared" si="3"/>
        <v>7.8341299894468933E-2</v>
      </c>
      <c r="N36" s="108">
        <f t="shared" si="4"/>
        <v>0.32342168973865543</v>
      </c>
      <c r="O36" s="108">
        <f t="shared" si="5"/>
        <v>5.7421317276056864E-2</v>
      </c>
      <c r="P36" s="108"/>
      <c r="Q36" s="97">
        <f>ABS(100*(K37-K36)/K36)</f>
        <v>1.213240367191003</v>
      </c>
      <c r="R36" s="97">
        <f t="shared" ref="R36:U36" si="39">ABS(100*(L37-L36)/L36)</f>
        <v>27.154469923076832</v>
      </c>
      <c r="S36" s="97">
        <f t="shared" si="39"/>
        <v>42.747659328887757</v>
      </c>
      <c r="T36" s="97">
        <f t="shared" si="39"/>
        <v>3.5798795524873315</v>
      </c>
      <c r="U36" s="97">
        <f t="shared" si="39"/>
        <v>35.971264480677256</v>
      </c>
      <c r="V36" s="106" t="s">
        <v>138</v>
      </c>
      <c r="Y36" s="106"/>
    </row>
    <row r="37" spans="1:25">
      <c r="A37" s="81" t="s">
        <v>61</v>
      </c>
      <c r="B37" s="81" t="s">
        <v>135</v>
      </c>
      <c r="C37" s="100">
        <v>15139</v>
      </c>
      <c r="D37" s="100">
        <v>5289</v>
      </c>
      <c r="E37" s="100">
        <v>1986</v>
      </c>
      <c r="F37" s="100">
        <v>1693</v>
      </c>
      <c r="G37" s="100">
        <v>4721</v>
      </c>
      <c r="H37" s="100">
        <v>1182</v>
      </c>
      <c r="I37" s="104"/>
      <c r="J37" s="109">
        <f t="shared" si="0"/>
        <v>0.98229737763392566</v>
      </c>
      <c r="K37" s="109">
        <f t="shared" si="1"/>
        <v>0.34936257348569921</v>
      </c>
      <c r="L37" s="109">
        <f t="shared" si="2"/>
        <v>0.13118435827993924</v>
      </c>
      <c r="M37" s="109">
        <f t="shared" si="3"/>
        <v>0.11183037188717881</v>
      </c>
      <c r="N37" s="109">
        <f t="shared" si="4"/>
        <v>0.31184358279939228</v>
      </c>
      <c r="O37" s="109">
        <f t="shared" si="5"/>
        <v>7.8076491181716098E-2</v>
      </c>
      <c r="P37" s="109"/>
      <c r="Q37" s="113">
        <f>ABS(100*(K38-K36)/K36)</f>
        <v>2.1719939266234127</v>
      </c>
      <c r="R37" s="113">
        <f t="shared" ref="R37:U37" si="40">ABS(100*(L38-L36)/L36)</f>
        <v>8.9404318509767418</v>
      </c>
      <c r="S37" s="113">
        <f t="shared" si="40"/>
        <v>37.275216082015127</v>
      </c>
      <c r="T37" s="113">
        <f t="shared" si="40"/>
        <v>8.7260383679728193</v>
      </c>
      <c r="U37" s="113">
        <f t="shared" si="40"/>
        <v>10.236909730513847</v>
      </c>
      <c r="V37" s="107" t="s">
        <v>139</v>
      </c>
      <c r="W37" s="107" t="s">
        <v>133</v>
      </c>
      <c r="Y37" s="107"/>
    </row>
    <row r="38" spans="1:25">
      <c r="A38" s="92" t="s">
        <v>129</v>
      </c>
      <c r="B38" s="92" t="s">
        <v>136</v>
      </c>
      <c r="C38" s="101">
        <v>15166</v>
      </c>
      <c r="D38" s="100">
        <v>5480</v>
      </c>
      <c r="E38" s="100">
        <v>2487</v>
      </c>
      <c r="F38" s="100">
        <v>1631</v>
      </c>
      <c r="G38" s="100">
        <v>4477</v>
      </c>
      <c r="H38" s="100">
        <v>960</v>
      </c>
      <c r="I38" s="104"/>
      <c r="J38" s="108">
        <f t="shared" si="0"/>
        <v>0.99136225768165631</v>
      </c>
      <c r="K38" s="108">
        <f t="shared" si="1"/>
        <v>0.3613345641566662</v>
      </c>
      <c r="L38" s="108">
        <f t="shared" si="2"/>
        <v>0.16398523012000527</v>
      </c>
      <c r="M38" s="108">
        <f t="shared" si="3"/>
        <v>0.10754318871159171</v>
      </c>
      <c r="N38" s="108">
        <f t="shared" si="4"/>
        <v>0.29519978900171434</v>
      </c>
      <c r="O38" s="108">
        <f t="shared" si="5"/>
        <v>6.3299485691678758E-2</v>
      </c>
      <c r="P38" s="108"/>
      <c r="Q38" s="114">
        <f>ABS(100*(K38-K37)/K37)</f>
        <v>3.4268097327995704</v>
      </c>
      <c r="R38" s="114">
        <f t="shared" ref="R38:U38" si="41">ABS(100*(L38-L37)/L37)</f>
        <v>25.003645457540763</v>
      </c>
      <c r="S38" s="114">
        <f t="shared" si="41"/>
        <v>3.8336483222216842</v>
      </c>
      <c r="T38" s="114">
        <f t="shared" si="41"/>
        <v>5.3372250434875319</v>
      </c>
      <c r="U38" s="114">
        <f t="shared" si="41"/>
        <v>18.92631862213835</v>
      </c>
      <c r="V38" s="112" t="s">
        <v>140</v>
      </c>
      <c r="Y38" s="112"/>
    </row>
    <row r="39" spans="1:25">
      <c r="D39" s="96"/>
      <c r="J39" s="110" t="s">
        <v>137</v>
      </c>
      <c r="K39" s="110">
        <f t="shared" ref="K39:O39" si="42">AVERAGE(K3:K38)</f>
        <v>0.33884040643093882</v>
      </c>
      <c r="L39" s="110">
        <f t="shared" si="42"/>
        <v>0.17171156086782394</v>
      </c>
      <c r="M39" s="110">
        <f t="shared" si="42"/>
        <v>0.10575050003471066</v>
      </c>
      <c r="N39" s="110">
        <f t="shared" si="42"/>
        <v>0.28915291970578616</v>
      </c>
      <c r="O39" s="110">
        <f t="shared" si="42"/>
        <v>7.5896572054991812E-2</v>
      </c>
      <c r="P39" s="109"/>
      <c r="Q39" s="118">
        <f>AVERAGE(Q4,Q7,Q10,Q13,Q16,Q19,Q22,Q25,Q28,Q31,Q34,Q37)</f>
        <v>2.5453974525399459</v>
      </c>
      <c r="R39" s="118">
        <f>AVERAGE(R4,R7,R10,R13,R16,R19,R22,R25,R28,R31,R34,R37)</f>
        <v>11.821735061132733</v>
      </c>
      <c r="S39" s="118">
        <f t="shared" ref="S39:U39" si="43">AVERAGE(S4,S7,S10,S13,S16,S19,S22,S25,S28,S31,S34,S37)</f>
        <v>34.257363734013062</v>
      </c>
      <c r="T39" s="118">
        <f t="shared" si="43"/>
        <v>13.185001739502175</v>
      </c>
      <c r="U39" s="118">
        <f t="shared" si="43"/>
        <v>22.613252790109254</v>
      </c>
      <c r="V39" s="119" t="s">
        <v>145</v>
      </c>
      <c r="W39" s="94">
        <f>AVERAGE(Q39,R39,S39,T39,U39)</f>
        <v>16.884550155459433</v>
      </c>
      <c r="X39" s="94">
        <f>AVERAGE(Q39,R39,T39)</f>
        <v>9.1840447510582859</v>
      </c>
    </row>
    <row r="40" spans="1:25" s="95" customFormat="1">
      <c r="C40" s="92"/>
      <c r="D40" s="96"/>
      <c r="E40" s="92"/>
      <c r="F40" s="92"/>
      <c r="G40" s="92"/>
      <c r="H40" s="92"/>
      <c r="I40" s="105"/>
      <c r="J40" s="96"/>
      <c r="Q40" s="115">
        <f>AVERAGE(Q3,Q6,Q9,Q12,Q15,Q18,Q21,Q24,Q27,Q30,Q33,Q36,)</f>
        <v>3.0809232927224368</v>
      </c>
      <c r="R40" s="115">
        <f>AVERAGE(R3,R6,R9,R12,R15,R18,R21,R24,R27,R30,R33,R36,)</f>
        <v>8.2354288458807101</v>
      </c>
      <c r="S40" s="115">
        <f t="shared" ref="S40:U40" si="44">AVERAGE(S3,S6,S9,S12,S15,S18,S21,S24,S27,S30,S33,S36,)</f>
        <v>26.654295537589373</v>
      </c>
      <c r="T40" s="115">
        <f t="shared" si="44"/>
        <v>10.247985100841662</v>
      </c>
      <c r="U40" s="115">
        <f t="shared" si="44"/>
        <v>24.132484181865486</v>
      </c>
      <c r="V40" s="116" t="s">
        <v>144</v>
      </c>
      <c r="W40" s="94">
        <f>AVERAGE(Q40,R40,S40,T40,U40)</f>
        <v>14.470223391779934</v>
      </c>
      <c r="X40" s="94">
        <f>AVERAGE(Q40,R40,T40)</f>
        <v>7.1881124131482705</v>
      </c>
    </row>
    <row r="41" spans="1:25" s="95" customFormat="1">
      <c r="C41" s="92"/>
      <c r="E41" s="92"/>
      <c r="F41" s="92"/>
      <c r="G41" s="92"/>
      <c r="H41" s="92"/>
      <c r="I41" s="105"/>
      <c r="Q41" s="115">
        <f>AVERAGE(Q5,Q8,Q11,Q14,Q17,Q20,Q23,Q26,Q29,Q32,Q35,Q38)</f>
        <v>2.1642612658165454</v>
      </c>
      <c r="R41" s="115">
        <f>AVERAGE(R5,R8,R11,R14,R17,R20,R23,R26,R29,R32,R35,R38)</f>
        <v>13.54971215493879</v>
      </c>
      <c r="S41" s="115">
        <f t="shared" ref="S41:U41" si="45">AVERAGE(S5,S8,S11,S14,S17,S20,S23,S26,S29,S32,S35,S38)</f>
        <v>18.576920553876629</v>
      </c>
      <c r="T41" s="115">
        <f t="shared" si="45"/>
        <v>7.3979051543461916</v>
      </c>
      <c r="U41" s="115">
        <f t="shared" si="45"/>
        <v>20.101073550553014</v>
      </c>
      <c r="V41" s="117" t="s">
        <v>143</v>
      </c>
      <c r="W41" s="94">
        <f>AVERAGE(Q41,R41,S41,T41,U41)</f>
        <v>12.357974535906234</v>
      </c>
      <c r="X41" s="94">
        <f>AVERAGE(Q41,R41,T41)</f>
        <v>7.7039595250338424</v>
      </c>
    </row>
    <row r="42" spans="1:25">
      <c r="Q42" s="97">
        <f>MAX(Q3:Q38)</f>
        <v>12.478526482269222</v>
      </c>
      <c r="R42" s="97">
        <f>MAX(R3:R38)</f>
        <v>39.859063012759087</v>
      </c>
      <c r="S42" s="97">
        <f>MAX(S3:S38)</f>
        <v>110.69857392475981</v>
      </c>
      <c r="T42" s="97">
        <f>MAX(T3:T38)</f>
        <v>37.91066231138884</v>
      </c>
      <c r="U42" s="97">
        <f>MAX(U3:U38)</f>
        <v>80.938784576718305</v>
      </c>
      <c r="V42" s="92" t="s">
        <v>148</v>
      </c>
      <c r="W42" s="92" t="s">
        <v>146</v>
      </c>
      <c r="X42" s="92" t="s">
        <v>147</v>
      </c>
    </row>
    <row r="43" spans="1:25">
      <c r="A43" s="95"/>
      <c r="B43" s="95"/>
    </row>
    <row r="44" spans="1:25">
      <c r="A44" s="95"/>
      <c r="B44" s="95"/>
    </row>
    <row r="45" spans="1:25">
      <c r="A45" s="95"/>
      <c r="B45" s="95"/>
    </row>
    <row r="54" spans="1:16" s="94" customFormat="1">
      <c r="A54" s="92"/>
      <c r="B54" s="92"/>
      <c r="C54" s="92"/>
      <c r="D54" s="92"/>
      <c r="E54" s="92"/>
      <c r="F54" s="92"/>
      <c r="G54" s="92"/>
      <c r="H54" s="92"/>
      <c r="I54" s="105"/>
      <c r="J54" s="92"/>
      <c r="K54" s="92"/>
      <c r="L54" s="92"/>
      <c r="M54" s="92"/>
      <c r="N54" s="92"/>
      <c r="O54" s="92"/>
      <c r="P54" s="92"/>
    </row>
    <row r="55" spans="1:16" s="94" customFormat="1">
      <c r="A55" s="92"/>
      <c r="B55" s="92"/>
      <c r="C55" s="92"/>
      <c r="D55" s="92"/>
      <c r="E55" s="92"/>
      <c r="F55" s="92"/>
      <c r="G55" s="92"/>
      <c r="H55" s="92"/>
      <c r="I55" s="105"/>
      <c r="J55" s="92"/>
      <c r="K55" s="92"/>
      <c r="L55" s="92"/>
      <c r="M55" s="92"/>
      <c r="N55" s="92"/>
      <c r="O55" s="92"/>
      <c r="P55" s="92"/>
    </row>
    <row r="56" spans="1:16" s="94" customFormat="1">
      <c r="A56" s="92"/>
      <c r="B56" s="92"/>
      <c r="C56" s="92"/>
      <c r="D56" s="92"/>
      <c r="E56" s="92"/>
      <c r="F56" s="92"/>
      <c r="G56" s="92"/>
      <c r="H56" s="92"/>
      <c r="I56" s="105"/>
      <c r="J56" s="92"/>
      <c r="K56" s="92"/>
      <c r="L56" s="92"/>
      <c r="M56" s="92"/>
      <c r="N56" s="92"/>
      <c r="O56" s="92"/>
      <c r="P56" s="92"/>
    </row>
    <row r="57" spans="1:16" s="94" customFormat="1">
      <c r="A57" s="92"/>
      <c r="B57" s="92"/>
      <c r="C57" s="92"/>
      <c r="D57" s="92"/>
      <c r="E57" s="92"/>
      <c r="F57" s="92"/>
      <c r="G57" s="92"/>
      <c r="H57" s="92"/>
      <c r="I57" s="105"/>
      <c r="J57" s="92"/>
      <c r="K57" s="92"/>
      <c r="L57" s="92"/>
      <c r="M57" s="92"/>
      <c r="N57" s="92"/>
      <c r="O57" s="92"/>
      <c r="P57" s="92"/>
    </row>
    <row r="58" spans="1:16" s="94" customFormat="1">
      <c r="A58" s="92"/>
      <c r="B58" s="92"/>
      <c r="C58" s="92"/>
      <c r="D58" s="92"/>
      <c r="E58" s="92"/>
      <c r="F58" s="92"/>
      <c r="G58" s="92"/>
      <c r="H58" s="92"/>
      <c r="I58" s="105"/>
      <c r="J58" s="92"/>
      <c r="K58" s="92"/>
      <c r="L58" s="92"/>
      <c r="M58" s="92"/>
      <c r="N58" s="92"/>
      <c r="O58" s="92"/>
      <c r="P58" s="92"/>
    </row>
    <row r="59" spans="1:16" s="94" customFormat="1">
      <c r="A59" s="92"/>
      <c r="B59" s="92"/>
      <c r="C59" s="92"/>
      <c r="D59" s="92"/>
      <c r="E59" s="92"/>
      <c r="F59" s="92"/>
      <c r="G59" s="92"/>
      <c r="H59" s="92"/>
      <c r="I59" s="105"/>
      <c r="J59" s="92"/>
      <c r="K59" s="92"/>
      <c r="L59" s="92"/>
      <c r="M59" s="92"/>
      <c r="N59" s="92"/>
      <c r="O59" s="92"/>
      <c r="P59" s="92"/>
    </row>
    <row r="60" spans="1:16" s="94" customFormat="1">
      <c r="A60" s="92"/>
      <c r="B60" s="92"/>
      <c r="C60" s="92"/>
      <c r="D60" s="92"/>
      <c r="E60" s="92"/>
      <c r="F60" s="92"/>
      <c r="G60" s="92"/>
      <c r="H60" s="92"/>
      <c r="I60" s="105"/>
      <c r="J60" s="92"/>
      <c r="K60" s="92"/>
      <c r="L60" s="92"/>
      <c r="M60" s="92"/>
      <c r="N60" s="92"/>
      <c r="O60" s="92"/>
      <c r="P60" s="92"/>
    </row>
    <row r="61" spans="1:16" s="94" customFormat="1">
      <c r="A61" s="92"/>
      <c r="B61" s="92"/>
      <c r="C61" s="92"/>
      <c r="D61" s="92"/>
      <c r="E61" s="92"/>
      <c r="F61" s="92"/>
      <c r="G61" s="92"/>
      <c r="H61" s="92"/>
      <c r="I61" s="105"/>
      <c r="J61" s="92"/>
      <c r="K61" s="92"/>
      <c r="L61" s="92"/>
      <c r="M61" s="92"/>
      <c r="N61" s="92"/>
      <c r="O61" s="92"/>
      <c r="P61" s="92"/>
    </row>
    <row r="62" spans="1:16" s="94" customFormat="1">
      <c r="A62" s="92"/>
      <c r="B62" s="92"/>
      <c r="C62" s="92"/>
      <c r="D62" s="92"/>
      <c r="E62" s="92"/>
      <c r="F62" s="92"/>
      <c r="G62" s="92"/>
      <c r="H62" s="92"/>
      <c r="I62" s="105"/>
      <c r="J62" s="92"/>
      <c r="K62" s="92"/>
      <c r="L62" s="92"/>
      <c r="M62" s="92"/>
      <c r="N62" s="92"/>
      <c r="O62" s="92"/>
      <c r="P62" s="92"/>
    </row>
    <row r="63" spans="1:16" s="94" customFormat="1">
      <c r="A63" s="92"/>
      <c r="B63" s="92"/>
      <c r="C63" s="92"/>
      <c r="D63" s="92"/>
      <c r="E63" s="92"/>
      <c r="F63" s="92"/>
      <c r="G63" s="92"/>
      <c r="H63" s="92"/>
      <c r="I63" s="105"/>
      <c r="J63" s="92"/>
      <c r="K63" s="92"/>
      <c r="L63" s="92"/>
      <c r="M63" s="92"/>
      <c r="N63" s="92"/>
      <c r="O63" s="92"/>
      <c r="P63" s="92"/>
    </row>
    <row r="64" spans="1:16" s="94" customFormat="1">
      <c r="A64" s="92"/>
      <c r="B64" s="92"/>
      <c r="C64" s="92"/>
      <c r="D64" s="92"/>
      <c r="E64" s="92"/>
      <c r="F64" s="92"/>
      <c r="G64" s="92"/>
      <c r="H64" s="92"/>
      <c r="I64" s="105"/>
      <c r="J64" s="92"/>
      <c r="K64" s="92"/>
      <c r="L64" s="92"/>
      <c r="M64" s="92"/>
      <c r="N64" s="92"/>
      <c r="O64" s="92"/>
      <c r="P64" s="92"/>
    </row>
    <row r="65" spans="1:16" s="94" customFormat="1">
      <c r="A65" s="92"/>
      <c r="B65" s="92"/>
      <c r="C65" s="92"/>
      <c r="D65" s="92"/>
      <c r="E65" s="92"/>
      <c r="F65" s="92"/>
      <c r="G65" s="92"/>
      <c r="H65" s="92"/>
      <c r="I65" s="105"/>
      <c r="J65" s="92"/>
      <c r="K65" s="92"/>
      <c r="L65" s="92"/>
      <c r="M65" s="92"/>
      <c r="N65" s="92"/>
      <c r="O65" s="92"/>
      <c r="P65" s="92"/>
    </row>
    <row r="66" spans="1:16" s="94" customFormat="1">
      <c r="A66" s="92"/>
      <c r="B66" s="92"/>
      <c r="C66" s="92"/>
      <c r="D66" s="92"/>
      <c r="E66" s="92"/>
      <c r="F66" s="92"/>
      <c r="G66" s="92"/>
      <c r="H66" s="92"/>
      <c r="I66" s="105"/>
      <c r="J66" s="92"/>
      <c r="K66" s="92"/>
      <c r="L66" s="92"/>
      <c r="M66" s="92"/>
      <c r="N66" s="92"/>
      <c r="O66" s="92"/>
      <c r="P66" s="92"/>
    </row>
    <row r="67" spans="1:16" s="94" customFormat="1">
      <c r="A67" s="92"/>
      <c r="B67" s="92"/>
      <c r="C67" s="92"/>
      <c r="D67" s="92"/>
      <c r="E67" s="92"/>
      <c r="F67" s="92"/>
      <c r="G67" s="92"/>
      <c r="H67" s="92"/>
      <c r="I67" s="105"/>
      <c r="J67" s="92"/>
      <c r="K67" s="92"/>
      <c r="L67" s="92"/>
      <c r="M67" s="92"/>
      <c r="N67" s="92"/>
      <c r="O67" s="92"/>
      <c r="P67" s="92"/>
    </row>
    <row r="68" spans="1:16" s="94" customFormat="1">
      <c r="A68" s="92"/>
      <c r="B68" s="92"/>
      <c r="C68" s="92"/>
      <c r="D68" s="92"/>
      <c r="E68" s="92"/>
      <c r="F68" s="92"/>
      <c r="G68" s="92"/>
      <c r="H68" s="92"/>
      <c r="I68" s="105"/>
      <c r="J68" s="92"/>
      <c r="K68" s="92"/>
      <c r="L68" s="92"/>
      <c r="M68" s="92"/>
      <c r="N68" s="92"/>
      <c r="O68" s="92"/>
      <c r="P68" s="92"/>
    </row>
    <row r="69" spans="1:16" s="94" customFormat="1">
      <c r="A69" s="92"/>
      <c r="B69" s="92"/>
      <c r="C69" s="92"/>
      <c r="D69" s="92"/>
      <c r="E69" s="92"/>
      <c r="F69" s="92"/>
      <c r="G69" s="92"/>
      <c r="H69" s="92"/>
      <c r="I69" s="105"/>
      <c r="J69" s="92"/>
      <c r="K69" s="92"/>
      <c r="L69" s="92"/>
      <c r="M69" s="92"/>
      <c r="N69" s="92"/>
      <c r="O69" s="92"/>
      <c r="P69" s="92"/>
    </row>
    <row r="70" spans="1:16" s="94" customFormat="1">
      <c r="A70" s="92"/>
      <c r="B70" s="92"/>
      <c r="C70" s="92"/>
      <c r="D70" s="92"/>
      <c r="E70" s="92"/>
      <c r="F70" s="92"/>
      <c r="G70" s="92"/>
      <c r="H70" s="92"/>
      <c r="I70" s="105"/>
      <c r="J70" s="92"/>
      <c r="K70" s="92"/>
      <c r="L70" s="92"/>
      <c r="M70" s="92"/>
      <c r="N70" s="92"/>
      <c r="O70" s="92"/>
      <c r="P70" s="92"/>
    </row>
    <row r="71" spans="1:16" s="94" customFormat="1">
      <c r="A71" s="92"/>
      <c r="B71" s="92"/>
      <c r="C71" s="92"/>
      <c r="D71" s="92"/>
      <c r="E71" s="92"/>
      <c r="F71" s="92"/>
      <c r="G71" s="92"/>
      <c r="H71" s="92"/>
      <c r="I71" s="105"/>
      <c r="J71" s="92"/>
      <c r="K71" s="92"/>
      <c r="L71" s="92"/>
      <c r="M71" s="92"/>
      <c r="N71" s="92"/>
      <c r="O71" s="92"/>
      <c r="P71" s="92"/>
    </row>
    <row r="72" spans="1:16" s="94" customFormat="1">
      <c r="A72" s="92"/>
      <c r="B72" s="92"/>
      <c r="C72" s="92"/>
      <c r="D72" s="92"/>
      <c r="E72" s="92"/>
      <c r="F72" s="92"/>
      <c r="G72" s="92"/>
      <c r="H72" s="92"/>
      <c r="I72" s="105"/>
      <c r="J72" s="92"/>
      <c r="K72" s="92"/>
      <c r="L72" s="92"/>
      <c r="M72" s="92"/>
      <c r="N72" s="92"/>
      <c r="O72" s="92"/>
      <c r="P72" s="92"/>
    </row>
    <row r="73" spans="1:16" s="94" customFormat="1">
      <c r="A73" s="92"/>
      <c r="B73" s="92"/>
      <c r="C73" s="92"/>
      <c r="D73" s="92"/>
      <c r="E73" s="92"/>
      <c r="F73" s="92"/>
      <c r="G73" s="92"/>
      <c r="H73" s="92"/>
      <c r="I73" s="105"/>
      <c r="J73" s="92"/>
      <c r="K73" s="92"/>
      <c r="L73" s="92"/>
      <c r="M73" s="92"/>
      <c r="N73" s="92"/>
      <c r="O73" s="92"/>
      <c r="P73" s="92"/>
    </row>
    <row r="74" spans="1:16" s="94" customFormat="1">
      <c r="A74" s="92"/>
      <c r="B74" s="92"/>
      <c r="C74" s="92"/>
      <c r="D74" s="92"/>
      <c r="E74" s="92"/>
      <c r="F74" s="92"/>
      <c r="G74" s="92"/>
      <c r="H74" s="92"/>
      <c r="I74" s="105"/>
      <c r="J74" s="92"/>
      <c r="K74" s="92"/>
      <c r="L74" s="92"/>
      <c r="M74" s="92"/>
      <c r="N74" s="92"/>
      <c r="O74" s="92"/>
      <c r="P74" s="92"/>
    </row>
    <row r="75" spans="1:16" s="94" customFormat="1">
      <c r="A75" s="92"/>
      <c r="B75" s="92"/>
      <c r="C75" s="92"/>
      <c r="D75" s="92"/>
      <c r="E75" s="92"/>
      <c r="F75" s="92"/>
      <c r="G75" s="92"/>
      <c r="H75" s="92"/>
      <c r="I75" s="105"/>
      <c r="J75" s="92"/>
      <c r="K75" s="92"/>
      <c r="L75" s="92"/>
      <c r="M75" s="92"/>
      <c r="N75" s="92"/>
      <c r="O75" s="92"/>
      <c r="P75" s="92"/>
    </row>
    <row r="76" spans="1:16" s="94" customFormat="1">
      <c r="A76" s="92"/>
      <c r="B76" s="92"/>
      <c r="C76" s="92"/>
      <c r="D76" s="92"/>
      <c r="E76" s="92"/>
      <c r="F76" s="92"/>
      <c r="G76" s="92"/>
      <c r="H76" s="92"/>
      <c r="I76" s="105"/>
      <c r="J76" s="92"/>
      <c r="K76" s="92"/>
      <c r="L76" s="92"/>
      <c r="M76" s="92"/>
      <c r="N76" s="92"/>
      <c r="O76" s="92"/>
      <c r="P76" s="92"/>
    </row>
    <row r="77" spans="1:16" s="94" customFormat="1">
      <c r="A77" s="92"/>
      <c r="B77" s="92"/>
      <c r="C77" s="92"/>
      <c r="D77" s="92"/>
      <c r="E77" s="92"/>
      <c r="F77" s="92"/>
      <c r="G77" s="92"/>
      <c r="H77" s="92"/>
      <c r="I77" s="105"/>
      <c r="J77" s="92"/>
      <c r="K77" s="92"/>
      <c r="L77" s="92"/>
      <c r="M77" s="92"/>
      <c r="N77" s="92"/>
      <c r="O77" s="92"/>
      <c r="P77" s="92"/>
    </row>
    <row r="78" spans="1:16" s="94" customFormat="1">
      <c r="A78" s="92"/>
      <c r="B78" s="92"/>
      <c r="C78" s="92"/>
      <c r="D78" s="92"/>
      <c r="E78" s="92"/>
      <c r="F78" s="92"/>
      <c r="G78" s="92"/>
      <c r="H78" s="92"/>
      <c r="I78" s="105"/>
      <c r="J78" s="92"/>
      <c r="K78" s="92"/>
      <c r="L78" s="92"/>
      <c r="M78" s="92"/>
      <c r="N78" s="92"/>
      <c r="O78" s="92"/>
      <c r="P78" s="92"/>
    </row>
    <row r="79" spans="1:16" s="94" customFormat="1">
      <c r="A79" s="92"/>
      <c r="B79" s="92"/>
      <c r="C79" s="92"/>
      <c r="D79" s="92"/>
      <c r="E79" s="92"/>
      <c r="F79" s="92"/>
      <c r="G79" s="92"/>
      <c r="H79" s="92"/>
      <c r="I79" s="105"/>
      <c r="J79" s="92"/>
      <c r="K79" s="92"/>
      <c r="L79" s="92"/>
      <c r="M79" s="92"/>
      <c r="N79" s="92"/>
      <c r="O79" s="92"/>
      <c r="P79" s="92"/>
    </row>
    <row r="80" spans="1:16" s="94" customFormat="1">
      <c r="A80" s="92"/>
      <c r="B80" s="92"/>
      <c r="C80" s="92"/>
      <c r="D80" s="92"/>
      <c r="E80" s="92"/>
      <c r="F80" s="92"/>
      <c r="G80" s="92"/>
      <c r="H80" s="92"/>
      <c r="I80" s="105"/>
      <c r="J80" s="92"/>
      <c r="K80" s="92"/>
      <c r="L80" s="92"/>
      <c r="M80" s="92"/>
      <c r="N80" s="92"/>
      <c r="O80" s="92"/>
      <c r="P80" s="92"/>
    </row>
    <row r="81" spans="1:16" s="94" customFormat="1">
      <c r="A81" s="92"/>
      <c r="B81" s="92"/>
      <c r="C81" s="92"/>
      <c r="D81" s="92"/>
      <c r="E81" s="92"/>
      <c r="F81" s="92"/>
      <c r="G81" s="92"/>
      <c r="H81" s="92"/>
      <c r="I81" s="105"/>
      <c r="J81" s="92"/>
      <c r="K81" s="92"/>
      <c r="L81" s="92"/>
      <c r="M81" s="92"/>
      <c r="N81" s="92"/>
      <c r="O81" s="92"/>
      <c r="P81" s="92"/>
    </row>
    <row r="82" spans="1:16" s="94" customFormat="1">
      <c r="A82" s="92"/>
      <c r="B82" s="92"/>
      <c r="C82" s="92"/>
      <c r="D82" s="92"/>
      <c r="E82" s="92"/>
      <c r="F82" s="92"/>
      <c r="G82" s="92"/>
      <c r="H82" s="92"/>
      <c r="I82" s="105"/>
      <c r="J82" s="92"/>
      <c r="K82" s="92"/>
      <c r="L82" s="92"/>
      <c r="M82" s="92"/>
      <c r="N82" s="92"/>
      <c r="O82" s="92"/>
      <c r="P82" s="92"/>
    </row>
    <row r="83" spans="1:16" s="94" customFormat="1">
      <c r="A83" s="92"/>
      <c r="B83" s="92"/>
      <c r="C83" s="92"/>
      <c r="D83" s="92"/>
      <c r="E83" s="92"/>
      <c r="F83" s="92"/>
      <c r="G83" s="92"/>
      <c r="H83" s="92"/>
      <c r="I83" s="105"/>
      <c r="J83" s="92"/>
      <c r="K83" s="92"/>
      <c r="L83" s="92"/>
      <c r="M83" s="92"/>
      <c r="N83" s="92"/>
      <c r="O83" s="92"/>
      <c r="P83" s="92"/>
    </row>
    <row r="84" spans="1:16" s="94" customFormat="1">
      <c r="A84" s="92"/>
      <c r="B84" s="92"/>
      <c r="C84" s="92"/>
      <c r="D84" s="92"/>
      <c r="E84" s="92"/>
      <c r="F84" s="92"/>
      <c r="G84" s="92"/>
      <c r="H84" s="92"/>
      <c r="I84" s="105"/>
      <c r="J84" s="92"/>
      <c r="K84" s="92"/>
      <c r="L84" s="92"/>
      <c r="M84" s="92"/>
      <c r="N84" s="92"/>
      <c r="O84" s="92"/>
      <c r="P84" s="92"/>
    </row>
    <row r="85" spans="1:16" s="94" customFormat="1">
      <c r="A85" s="92"/>
      <c r="B85" s="92"/>
      <c r="C85" s="92"/>
      <c r="D85" s="92"/>
      <c r="E85" s="92"/>
      <c r="F85" s="92"/>
      <c r="G85" s="92"/>
      <c r="H85" s="92"/>
      <c r="I85" s="105"/>
      <c r="J85" s="92"/>
      <c r="K85" s="92"/>
      <c r="L85" s="92"/>
      <c r="M85" s="92"/>
      <c r="N85" s="92"/>
      <c r="O85" s="92"/>
      <c r="P85" s="92"/>
    </row>
  </sheetData>
  <sheetProtection formatCells="0" formatColumns="0" formatRows="0" insertColumns="0" insertRows="0" sort="0" autoFilter="0"/>
  <dataConsolidate/>
  <mergeCells count="3">
    <mergeCell ref="C1:H1"/>
    <mergeCell ref="J1:O1"/>
    <mergeCell ref="Q1:U1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processing</vt:lpstr>
      <vt:lpstr>test-FRC-code</vt:lpstr>
      <vt:lpstr>piv global plots</vt:lpstr>
      <vt:lpstr>check size L R1-R4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Melissa Preissner</cp:lastModifiedBy>
  <cp:lastPrinted>2016-03-04T07:09:20Z</cp:lastPrinted>
  <dcterms:created xsi:type="dcterms:W3CDTF">2016-03-04T01:45:50Z</dcterms:created>
  <dcterms:modified xsi:type="dcterms:W3CDTF">2020-09-16T06:32:22Z</dcterms:modified>
</cp:coreProperties>
</file>